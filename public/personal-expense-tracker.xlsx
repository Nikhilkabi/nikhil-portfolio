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hi\Downloads\"/>
    </mc:Choice>
  </mc:AlternateContent>
  <xr:revisionPtr revIDLastSave="0" documentId="8_{DF51D1E2-DEAA-4762-BEC3-F95C084EB2ED}" xr6:coauthVersionLast="47" xr6:coauthVersionMax="47" xr10:uidLastSave="{00000000-0000-0000-0000-000000000000}"/>
  <bookViews>
    <workbookView xWindow="-120" yWindow="-120" windowWidth="29040" windowHeight="15720" xr2:uid="{47D8B49B-42AD-446E-AA9E-715751B93535}"/>
  </bookViews>
  <sheets>
    <sheet name="Settings" sheetId="1" r:id="rId1"/>
    <sheet name="Budget Planning" sheetId="2" r:id="rId2"/>
    <sheet name="Budget Tracking" sheetId="3" r:id="rId3"/>
    <sheet name="Budget Dashboard" sheetId="4" r:id="rId4"/>
    <sheet name="Calculations" sheetId="5" r:id="rId5"/>
    <sheet name="Dropdown Data" sheetId="6" r:id="rId6"/>
  </sheets>
  <definedNames>
    <definedName name="budget" localSheetId="3">'Budget Dashboard'!$L1</definedName>
    <definedName name="budget_range" localSheetId="3">'Budget Dashboard'!$Q1</definedName>
    <definedName name="budget_rank" localSheetId="3">'Budget Dashboard'!$R1</definedName>
    <definedName name="cc_budget" localSheetId="4">Calculations!$K1</definedName>
    <definedName name="cc_delta" localSheetId="4">Calculations!$L1</definedName>
    <definedName name="cc_in_focus" localSheetId="4">Calculations!$G1</definedName>
    <definedName name="cc_month_number" localSheetId="4">Calculations!$F1</definedName>
    <definedName name="cc_show_remaining_budget" localSheetId="4">Calculations!$I1</definedName>
    <definedName name="cc_show_type" localSheetId="4">Calculations!$H1</definedName>
    <definedName name="cc_tracked" localSheetId="4">Calculations!$J1</definedName>
    <definedName name="cc_type" localSheetId="4">Calculations!$E1</definedName>
    <definedName name="comb_rank" localSheetId="3">'Budget Dashboard'!$S1</definedName>
    <definedName name="comb_rank_norm" localSheetId="3">'Budget Dashboard'!$U1</definedName>
    <definedName name="comb_rank_norm_run_range" localSheetId="3">'Budget Dashboard'!$V1</definedName>
    <definedName name="comb_rank_range" localSheetId="3">'Budget Dashboard'!$T1</definedName>
    <definedName name="comb_rank_unique" localSheetId="3">'Budget Dashboard'!$W1</definedName>
    <definedName name="curren_date">TODAY()</definedName>
    <definedName name="expenses_header_row">ROW(Expenses[[#Headers],[ Expenses]])</definedName>
    <definedName name="expenses_max_row">MAX(ROW(Expenses[]))</definedName>
    <definedName name="expenses_min_row">MIN(ROW(Expenses[]))</definedName>
    <definedName name="expenses_total_row">ROW('Budget Planning'!$C$41)</definedName>
    <definedName name="header_row_id" localSheetId="3">'Budget Dashboard'!$D1</definedName>
    <definedName name="Income_header_row">ROW(Income[[#Headers],[Income]])</definedName>
    <definedName name="income_max_row">MAX(ROW(Income[]))</definedName>
    <definedName name="income_min_row">MIN(ROW(Income[]))</definedName>
    <definedName name="income_total_row">ROW('Budget Planning'!$C$24)</definedName>
    <definedName name="is_cat" localSheetId="3">'Budget Dashboard'!$F1</definedName>
    <definedName name="is_empty" localSheetId="3">'Budget Dashboard'!$H1</definedName>
    <definedName name="is_header" localSheetId="3">'Budget Dashboard'!$E1</definedName>
    <definedName name="is_total" localSheetId="3">'Budget Dashboard'!$G1</definedName>
    <definedName name="item" localSheetId="3">'Budget Dashboard'!$J1</definedName>
    <definedName name="item">'Budget Dashboard'!$J1</definedName>
    <definedName name="out_budget" localSheetId="3">'Budget Dashboard'!$AA1</definedName>
    <definedName name="out_percentage_completed" localSheetId="3">'Budget Dashboard'!$AB1</definedName>
    <definedName name="out_tracked" localSheetId="3">'Budget Dashboard'!$Z1</definedName>
    <definedName name="row_id" localSheetId="3">'Budget Dashboard'!$C1</definedName>
    <definedName name="savings_header_row">ROW(Savings[[#Headers],[ Savings]])</definedName>
    <definedName name="savings_max_row">MAX(ROW(Savings[]))</definedName>
    <definedName name="savings_min_row">MIN(ROW(Savings[]))</definedName>
    <definedName name="savings_rate_calculation_type">Settings!$E$20</definedName>
    <definedName name="savings_total_row">ROW('Budget Planning'!$C$58)</definedName>
    <definedName name="selected_period">Calculations!$E$20</definedName>
    <definedName name="selected_period_display">Calculations!$E$21</definedName>
    <definedName name="selected_year">Calculations!$E$19</definedName>
    <definedName name="sort_max_row" localSheetId="3">'Budget Dashboard'!$N1</definedName>
    <definedName name="sort_min_row" localSheetId="3">'Budget Dashboard'!$M1</definedName>
    <definedName name="starting_year">Settings!$E$8</definedName>
    <definedName name="tracked" localSheetId="3">'Budget Dashboard'!$K1</definedName>
    <definedName name="tracked_range" localSheetId="3">'Budget Dashboard'!$O1</definedName>
    <definedName name="tracked_rank" localSheetId="3">'Budget Dashboard'!$P1</definedName>
    <definedName name="type" localSheetId="3">'Budget Dashboard'!$I1</definedName>
    <definedName name="type">'Budget Dashboard'!$I$13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5" l="1"/>
  <c r="E10" i="5" s="1"/>
  <c r="I59" i="5"/>
  <c r="I60" i="5"/>
  <c r="I61" i="5"/>
  <c r="I63" i="5"/>
  <c r="I64" i="5"/>
  <c r="I65" i="5"/>
  <c r="I67" i="5"/>
  <c r="I68" i="5"/>
  <c r="I69" i="5"/>
  <c r="I71" i="5"/>
  <c r="I72" i="5"/>
  <c r="I73" i="5"/>
  <c r="I75" i="5"/>
  <c r="I76" i="5"/>
  <c r="I77" i="5"/>
  <c r="I79" i="5"/>
  <c r="I80" i="5"/>
  <c r="I81" i="5"/>
  <c r="I83" i="5"/>
  <c r="I84" i="5"/>
  <c r="I85" i="5"/>
  <c r="I87" i="5"/>
  <c r="I88" i="5"/>
  <c r="I89" i="5"/>
  <c r="I91" i="5"/>
  <c r="I92" i="5"/>
  <c r="I93" i="5"/>
  <c r="I95" i="5"/>
  <c r="I96" i="5"/>
  <c r="I97" i="5"/>
  <c r="I99" i="5"/>
  <c r="I100" i="5"/>
  <c r="I101" i="5"/>
  <c r="I56" i="5"/>
  <c r="I57" i="5"/>
  <c r="I55" i="5"/>
  <c r="H59" i="5"/>
  <c r="H60" i="5"/>
  <c r="H61" i="5"/>
  <c r="H63" i="5"/>
  <c r="H64" i="5"/>
  <c r="H65" i="5"/>
  <c r="H67" i="5"/>
  <c r="H68" i="5"/>
  <c r="H69" i="5"/>
  <c r="H71" i="5"/>
  <c r="H72" i="5"/>
  <c r="H73" i="5"/>
  <c r="H75" i="5"/>
  <c r="H76" i="5"/>
  <c r="H77" i="5"/>
  <c r="H79" i="5"/>
  <c r="H80" i="5"/>
  <c r="H81" i="5"/>
  <c r="H83" i="5"/>
  <c r="H84" i="5"/>
  <c r="H85" i="5"/>
  <c r="H87" i="5"/>
  <c r="H88" i="5"/>
  <c r="H89" i="5"/>
  <c r="H91" i="5"/>
  <c r="H92" i="5"/>
  <c r="H93" i="5"/>
  <c r="H95" i="5"/>
  <c r="H96" i="5"/>
  <c r="H97" i="5"/>
  <c r="H99" i="5"/>
  <c r="H100" i="5"/>
  <c r="H101" i="5"/>
  <c r="H57" i="5"/>
  <c r="H56" i="5"/>
  <c r="H55" i="5"/>
  <c r="F39" i="5" a="1"/>
  <c r="F39" i="5" s="1"/>
  <c r="E39" i="5" s="1" a="1"/>
  <c r="E39" i="5" s="1"/>
  <c r="AP36" i="4"/>
  <c r="AI36" i="4"/>
  <c r="AI23" i="4"/>
  <c r="H48" i="3" a="1"/>
  <c r="H48" i="3" s="1"/>
  <c r="H47" i="3" a="1"/>
  <c r="H47" i="3" s="1"/>
  <c r="H46" i="3" a="1"/>
  <c r="H46" i="3" s="1"/>
  <c r="H45" i="3" a="1"/>
  <c r="H45" i="3" s="1"/>
  <c r="H44" i="3" a="1"/>
  <c r="H44" i="3" s="1"/>
  <c r="H43" i="3" a="1"/>
  <c r="H43" i="3" s="1"/>
  <c r="H42" i="3" a="1"/>
  <c r="H42" i="3" s="1"/>
  <c r="H41" i="3" a="1"/>
  <c r="H41" i="3" s="1"/>
  <c r="H40" i="3" a="1"/>
  <c r="H40" i="3" s="1"/>
  <c r="H39" i="3" a="1"/>
  <c r="H39" i="3" s="1"/>
  <c r="H38" i="3" a="1"/>
  <c r="H38" i="3" s="1"/>
  <c r="H37" i="3" a="1"/>
  <c r="H37" i="3" s="1"/>
  <c r="H36" i="3" a="1"/>
  <c r="H36" i="3" s="1"/>
  <c r="H35" i="3" a="1"/>
  <c r="H35" i="3" s="1"/>
  <c r="H34" i="3" a="1"/>
  <c r="H34" i="3" s="1"/>
  <c r="H33" i="3" a="1"/>
  <c r="H33" i="3" s="1"/>
  <c r="H32" i="3" a="1"/>
  <c r="H32" i="3" s="1"/>
  <c r="H31" i="3" a="1"/>
  <c r="H31" i="3" s="1"/>
  <c r="H30" i="3" a="1"/>
  <c r="H30" i="3" s="1"/>
  <c r="H29" i="3" a="1"/>
  <c r="H29" i="3" s="1"/>
  <c r="H28" i="3" a="1"/>
  <c r="H28" i="3" s="1"/>
  <c r="H22" i="3" a="1"/>
  <c r="H22" i="3" s="1"/>
  <c r="H21" i="3" a="1"/>
  <c r="H21" i="3" s="1"/>
  <c r="H20" i="3" a="1"/>
  <c r="H20" i="3" s="1"/>
  <c r="H19" i="3" a="1"/>
  <c r="H19" i="3" s="1"/>
  <c r="H18" i="3" a="1"/>
  <c r="H18" i="3" s="1"/>
  <c r="H17" i="3" a="1"/>
  <c r="H17" i="3" s="1"/>
  <c r="H16" i="3" a="1"/>
  <c r="H16" i="3" s="1"/>
  <c r="H14" i="3" a="1"/>
  <c r="H14" i="3" s="1"/>
  <c r="AD19" i="4"/>
  <c r="AD20" i="4"/>
  <c r="AD31" i="4"/>
  <c r="AD32" i="4"/>
  <c r="AD43" i="4"/>
  <c r="AD44" i="4"/>
  <c r="AD45" i="4"/>
  <c r="AD46" i="4"/>
  <c r="AD47" i="4"/>
  <c r="AD48" i="4"/>
  <c r="AD49" i="4"/>
  <c r="AD50" i="4"/>
  <c r="AD51" i="4"/>
  <c r="AD52" i="4"/>
  <c r="AD53" i="4"/>
  <c r="AD54" i="4"/>
  <c r="AD55" i="4"/>
  <c r="AD56" i="4"/>
  <c r="AD57" i="4"/>
  <c r="AD58" i="4"/>
  <c r="AD59" i="4"/>
  <c r="AD60" i="4"/>
  <c r="AD13" i="4"/>
  <c r="AC13" i="4"/>
  <c r="AC19" i="4"/>
  <c r="AC20" i="4"/>
  <c r="AC31" i="4"/>
  <c r="AC32" i="4"/>
  <c r="AC43" i="4"/>
  <c r="AC44" i="4"/>
  <c r="AC45" i="4"/>
  <c r="AC46" i="4"/>
  <c r="AC47" i="4"/>
  <c r="AC48" i="4"/>
  <c r="AC49" i="4"/>
  <c r="AC50" i="4"/>
  <c r="AC51" i="4"/>
  <c r="AC52" i="4"/>
  <c r="AC53" i="4"/>
  <c r="AC54" i="4"/>
  <c r="AC55" i="4"/>
  <c r="AC56" i="4"/>
  <c r="AC57" i="4"/>
  <c r="AC58" i="4"/>
  <c r="AC59" i="4"/>
  <c r="AC60" i="4"/>
  <c r="AB19" i="4"/>
  <c r="AB20" i="4"/>
  <c r="AB31" i="4"/>
  <c r="AB32" i="4"/>
  <c r="AB43" i="4"/>
  <c r="AB44" i="4"/>
  <c r="AB45" i="4"/>
  <c r="AB46" i="4"/>
  <c r="AB47" i="4"/>
  <c r="AB48" i="4"/>
  <c r="AB49" i="4"/>
  <c r="AB50" i="4"/>
  <c r="AB51" i="4"/>
  <c r="AB52" i="4"/>
  <c r="AB53" i="4"/>
  <c r="AB54" i="4"/>
  <c r="AB55" i="4"/>
  <c r="AB56" i="4"/>
  <c r="AB57" i="4"/>
  <c r="AB58" i="4"/>
  <c r="AB59" i="4"/>
  <c r="AB60" i="4"/>
  <c r="AB13" i="4"/>
  <c r="AA19" i="4"/>
  <c r="AA20" i="4"/>
  <c r="AA31" i="4"/>
  <c r="AA32" i="4"/>
  <c r="AA43" i="4"/>
  <c r="AA44" i="4"/>
  <c r="AA45" i="4"/>
  <c r="AA46" i="4"/>
  <c r="AA47" i="4"/>
  <c r="AA48" i="4"/>
  <c r="AA49" i="4"/>
  <c r="AA50" i="4"/>
  <c r="AA51" i="4"/>
  <c r="AA52" i="4"/>
  <c r="AA53" i="4"/>
  <c r="AA54" i="4"/>
  <c r="AA55" i="4"/>
  <c r="AA56" i="4"/>
  <c r="AA57" i="4"/>
  <c r="AA58" i="4"/>
  <c r="AA59" i="4"/>
  <c r="AA60" i="4"/>
  <c r="AA13" i="4"/>
  <c r="Z13" i="4"/>
  <c r="Z19" i="4"/>
  <c r="Z20" i="4"/>
  <c r="Z31" i="4"/>
  <c r="Z32" i="4"/>
  <c r="Z43" i="4"/>
  <c r="Z44" i="4"/>
  <c r="Z45" i="4"/>
  <c r="Z46" i="4"/>
  <c r="Z47" i="4"/>
  <c r="Z48" i="4"/>
  <c r="Z49" i="4"/>
  <c r="Z50" i="4"/>
  <c r="Z51" i="4"/>
  <c r="Z52" i="4"/>
  <c r="Z53" i="4"/>
  <c r="Z54" i="4"/>
  <c r="Z55" i="4"/>
  <c r="Z56" i="4"/>
  <c r="Z57" i="4"/>
  <c r="Z58" i="4"/>
  <c r="Z59" i="4"/>
  <c r="Z60" i="4"/>
  <c r="Y19" i="4"/>
  <c r="Y31" i="4"/>
  <c r="Y43" i="4"/>
  <c r="Y44" i="4"/>
  <c r="Y45" i="4"/>
  <c r="Y46" i="4"/>
  <c r="Y47" i="4"/>
  <c r="Y48" i="4"/>
  <c r="Y49" i="4"/>
  <c r="Y50" i="4"/>
  <c r="Y51" i="4"/>
  <c r="Y52" i="4"/>
  <c r="Y53" i="4"/>
  <c r="Y54" i="4"/>
  <c r="Y55" i="4"/>
  <c r="Y56" i="4"/>
  <c r="Y57" i="4"/>
  <c r="Y58" i="4"/>
  <c r="Y59" i="4"/>
  <c r="Y60" i="4"/>
  <c r="Y13" i="4"/>
  <c r="X18" i="4"/>
  <c r="X19" i="4"/>
  <c r="X20" i="4"/>
  <c r="X30" i="4"/>
  <c r="X31" i="4"/>
  <c r="X32" i="4"/>
  <c r="X42" i="4"/>
  <c r="X43" i="4"/>
  <c r="X44" i="4"/>
  <c r="X45" i="4"/>
  <c r="X46" i="4"/>
  <c r="X47" i="4"/>
  <c r="X48" i="4"/>
  <c r="X52" i="4"/>
  <c r="X53" i="4"/>
  <c r="X54" i="4"/>
  <c r="X55" i="4"/>
  <c r="X56" i="4"/>
  <c r="X57" i="4"/>
  <c r="X58" i="4"/>
  <c r="X59" i="4"/>
  <c r="X60" i="4"/>
  <c r="X13" i="4"/>
  <c r="W18" i="4"/>
  <c r="W19" i="4"/>
  <c r="W20" i="4"/>
  <c r="W30" i="4"/>
  <c r="W31" i="4"/>
  <c r="W32" i="4"/>
  <c r="W42" i="4"/>
  <c r="W43" i="4"/>
  <c r="W44" i="4"/>
  <c r="W45" i="4"/>
  <c r="W46" i="4"/>
  <c r="W47" i="4"/>
  <c r="W48" i="4"/>
  <c r="W52" i="4"/>
  <c r="W53" i="4"/>
  <c r="W54" i="4"/>
  <c r="W55" i="4"/>
  <c r="W56" i="4"/>
  <c r="W57" i="4"/>
  <c r="W58" i="4"/>
  <c r="W59" i="4"/>
  <c r="W60" i="4"/>
  <c r="W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41" i="4"/>
  <c r="V42" i="4"/>
  <c r="V43" i="4"/>
  <c r="V44" i="4"/>
  <c r="V45" i="4"/>
  <c r="V46" i="4"/>
  <c r="V47" i="4"/>
  <c r="V48" i="4"/>
  <c r="V52" i="4"/>
  <c r="V53" i="4"/>
  <c r="V54" i="4"/>
  <c r="V55" i="4"/>
  <c r="V56" i="4"/>
  <c r="V57" i="4"/>
  <c r="V58" i="4"/>
  <c r="V59" i="4"/>
  <c r="V60" i="4"/>
  <c r="V13" i="4"/>
  <c r="T13" i="4"/>
  <c r="U18" i="4"/>
  <c r="U19" i="4"/>
  <c r="U20" i="4"/>
  <c r="U30" i="4"/>
  <c r="U31" i="4"/>
  <c r="U32" i="4"/>
  <c r="U42" i="4"/>
  <c r="U43" i="4"/>
  <c r="U44" i="4"/>
  <c r="U45" i="4"/>
  <c r="U46" i="4"/>
  <c r="U47" i="4"/>
  <c r="U48" i="4"/>
  <c r="U52" i="4"/>
  <c r="U53" i="4"/>
  <c r="U54" i="4"/>
  <c r="U55" i="4"/>
  <c r="U56" i="4"/>
  <c r="U57" i="4"/>
  <c r="U58" i="4"/>
  <c r="U59" i="4"/>
  <c r="U60" i="4"/>
  <c r="U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33" i="4"/>
  <c r="T34" i="4"/>
  <c r="T35" i="4"/>
  <c r="T36" i="4"/>
  <c r="T37" i="4"/>
  <c r="T38" i="4"/>
  <c r="T39" i="4"/>
  <c r="T40" i="4"/>
  <c r="T41" i="4"/>
  <c r="T42" i="4"/>
  <c r="T43" i="4"/>
  <c r="T44" i="4"/>
  <c r="T45" i="4"/>
  <c r="T46" i="4"/>
  <c r="T47" i="4"/>
  <c r="T48" i="4"/>
  <c r="T52" i="4"/>
  <c r="T53" i="4"/>
  <c r="T54" i="4"/>
  <c r="T55" i="4"/>
  <c r="T56" i="4"/>
  <c r="T57" i="4"/>
  <c r="T58" i="4"/>
  <c r="T59" i="4"/>
  <c r="T60" i="4"/>
  <c r="Q13" i="4"/>
  <c r="S18" i="4"/>
  <c r="S19" i="4"/>
  <c r="S20" i="4"/>
  <c r="S30" i="4"/>
  <c r="S31" i="4"/>
  <c r="S32" i="4"/>
  <c r="S42" i="4"/>
  <c r="S43" i="4"/>
  <c r="S44" i="4"/>
  <c r="S45" i="4"/>
  <c r="S46" i="4"/>
  <c r="S47" i="4"/>
  <c r="S48" i="4"/>
  <c r="S52" i="4"/>
  <c r="S53" i="4"/>
  <c r="S54" i="4"/>
  <c r="S55" i="4"/>
  <c r="S56" i="4"/>
  <c r="S57" i="4"/>
  <c r="S58" i="4"/>
  <c r="S59" i="4"/>
  <c r="S60" i="4"/>
  <c r="S13" i="4"/>
  <c r="R18" i="4"/>
  <c r="R19" i="4"/>
  <c r="R20" i="4"/>
  <c r="R30" i="4"/>
  <c r="R31" i="4"/>
  <c r="R32" i="4"/>
  <c r="R42" i="4"/>
  <c r="R43" i="4"/>
  <c r="R44" i="4"/>
  <c r="R45" i="4"/>
  <c r="R46" i="4"/>
  <c r="R47" i="4"/>
  <c r="R48" i="4"/>
  <c r="R52" i="4"/>
  <c r="R53" i="4"/>
  <c r="R54" i="4"/>
  <c r="R55" i="4"/>
  <c r="R56" i="4"/>
  <c r="R57" i="4"/>
  <c r="R58" i="4"/>
  <c r="R59" i="4"/>
  <c r="R60" i="4"/>
  <c r="R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52" i="4"/>
  <c r="Q53" i="4"/>
  <c r="Q54" i="4"/>
  <c r="Q55" i="4"/>
  <c r="Q56" i="4"/>
  <c r="Q57" i="4"/>
  <c r="Q58" i="4"/>
  <c r="Q59" i="4"/>
  <c r="Q60" i="4"/>
  <c r="O13" i="4"/>
  <c r="P18" i="4"/>
  <c r="P19" i="4"/>
  <c r="P20" i="4"/>
  <c r="P30" i="4"/>
  <c r="P31" i="4"/>
  <c r="P32" i="4"/>
  <c r="P42" i="4"/>
  <c r="P43" i="4"/>
  <c r="P44" i="4"/>
  <c r="P45" i="4"/>
  <c r="P46" i="4"/>
  <c r="P47" i="4"/>
  <c r="P48" i="4"/>
  <c r="P52" i="4"/>
  <c r="P53" i="4"/>
  <c r="P54" i="4"/>
  <c r="P55" i="4"/>
  <c r="P56" i="4"/>
  <c r="P57" i="4"/>
  <c r="P58" i="4"/>
  <c r="P59" i="4"/>
  <c r="P60" i="4"/>
  <c r="P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52" i="4"/>
  <c r="O53" i="4"/>
  <c r="O54" i="4"/>
  <c r="O55" i="4"/>
  <c r="O56" i="4"/>
  <c r="O57" i="4"/>
  <c r="O58" i="4"/>
  <c r="O59" i="4"/>
  <c r="O60" i="4"/>
  <c r="N14" i="4" a="1"/>
  <c r="N14" i="4" s="1"/>
  <c r="N15" i="4" a="1"/>
  <c r="N15" i="4" s="1"/>
  <c r="N16" i="4" a="1"/>
  <c r="N16" i="4" s="1"/>
  <c r="N17" i="4" a="1"/>
  <c r="N17" i="4" s="1"/>
  <c r="N18" i="4" a="1"/>
  <c r="N18" i="4" s="1"/>
  <c r="N19" i="4" a="1"/>
  <c r="N19" i="4" s="1"/>
  <c r="N20" i="4" a="1"/>
  <c r="N20" i="4" s="1"/>
  <c r="N21" i="4" a="1"/>
  <c r="N21" i="4" s="1"/>
  <c r="N22" i="4" a="1"/>
  <c r="N22" i="4" s="1"/>
  <c r="N23" i="4" a="1"/>
  <c r="N23" i="4" s="1"/>
  <c r="N24" i="4" a="1"/>
  <c r="N24" i="4" s="1"/>
  <c r="N25" i="4" a="1"/>
  <c r="N25" i="4" s="1"/>
  <c r="N26" i="4" a="1"/>
  <c r="N26" i="4" s="1"/>
  <c r="N27" i="4" a="1"/>
  <c r="N27" i="4" s="1"/>
  <c r="N28" i="4" a="1"/>
  <c r="N28" i="4" s="1"/>
  <c r="N29" i="4" a="1"/>
  <c r="N29" i="4" s="1"/>
  <c r="N30" i="4" a="1"/>
  <c r="N30" i="4" s="1"/>
  <c r="N31" i="4" a="1"/>
  <c r="N31" i="4" s="1"/>
  <c r="N32" i="4" a="1"/>
  <c r="N32" i="4" s="1"/>
  <c r="N33" i="4" a="1"/>
  <c r="N33" i="4" s="1"/>
  <c r="N34" i="4" a="1"/>
  <c r="N34" i="4" s="1"/>
  <c r="N35" i="4" a="1"/>
  <c r="N35" i="4" s="1"/>
  <c r="N36" i="4" a="1"/>
  <c r="N36" i="4" s="1"/>
  <c r="N37" i="4" a="1"/>
  <c r="N37" i="4" s="1"/>
  <c r="N38" i="4" a="1"/>
  <c r="N38" i="4" s="1"/>
  <c r="N39" i="4" a="1"/>
  <c r="N39" i="4" s="1"/>
  <c r="N40" i="4" a="1"/>
  <c r="N40" i="4" s="1"/>
  <c r="N41" i="4" a="1"/>
  <c r="N41" i="4" s="1"/>
  <c r="N42" i="4" a="1"/>
  <c r="N42" i="4" s="1"/>
  <c r="N43" i="4" a="1"/>
  <c r="N43" i="4" s="1"/>
  <c r="N44" i="4" a="1"/>
  <c r="N44" i="4" s="1"/>
  <c r="N45" i="4" a="1"/>
  <c r="N45" i="4" s="1"/>
  <c r="N46" i="4" a="1"/>
  <c r="N46" i="4" s="1"/>
  <c r="N47" i="4" a="1"/>
  <c r="N47" i="4" s="1"/>
  <c r="N48" i="4" a="1"/>
  <c r="N48" i="4" s="1"/>
  <c r="N52" i="4" a="1"/>
  <c r="N52" i="4" s="1"/>
  <c r="N53" i="4" a="1"/>
  <c r="N53" i="4" s="1"/>
  <c r="N54" i="4" a="1"/>
  <c r="N54" i="4" s="1"/>
  <c r="N55" i="4" a="1"/>
  <c r="N55" i="4" s="1"/>
  <c r="N56" i="4" a="1"/>
  <c r="N56" i="4" s="1"/>
  <c r="N57" i="4" a="1"/>
  <c r="N57" i="4" s="1"/>
  <c r="N58" i="4" a="1"/>
  <c r="N58" i="4" s="1"/>
  <c r="N59" i="4" a="1"/>
  <c r="N59" i="4" s="1"/>
  <c r="N60" i="4" a="1"/>
  <c r="N60" i="4" s="1"/>
  <c r="N13" i="4" a="1"/>
  <c r="N13" i="4" s="1"/>
  <c r="M13" i="4" a="1"/>
  <c r="M13" i="4" s="1"/>
  <c r="M14" i="4" a="1"/>
  <c r="M14" i="4" s="1"/>
  <c r="M15" i="4" a="1"/>
  <c r="M15" i="4" s="1"/>
  <c r="M16" i="4" a="1"/>
  <c r="M16" i="4" s="1"/>
  <c r="M17" i="4" a="1"/>
  <c r="M17" i="4" s="1"/>
  <c r="M18" i="4" a="1"/>
  <c r="M18" i="4" s="1"/>
  <c r="M19" i="4" a="1"/>
  <c r="M19" i="4" s="1"/>
  <c r="M20" i="4" a="1"/>
  <c r="M20" i="4" s="1"/>
  <c r="M21" i="4" a="1"/>
  <c r="M21" i="4" s="1"/>
  <c r="M22" i="4" a="1"/>
  <c r="M22" i="4" s="1"/>
  <c r="M23" i="4" a="1"/>
  <c r="M23" i="4" s="1"/>
  <c r="M24" i="4" a="1"/>
  <c r="M24" i="4" s="1"/>
  <c r="M25" i="4" a="1"/>
  <c r="M25" i="4" s="1"/>
  <c r="M26" i="4" a="1"/>
  <c r="M26" i="4" s="1"/>
  <c r="M27" i="4" a="1"/>
  <c r="M27" i="4" s="1"/>
  <c r="M28" i="4" a="1"/>
  <c r="M28" i="4" s="1"/>
  <c r="M29" i="4" a="1"/>
  <c r="M29" i="4" s="1"/>
  <c r="M30" i="4" a="1"/>
  <c r="M30" i="4" s="1"/>
  <c r="M31" i="4" a="1"/>
  <c r="M31" i="4" s="1"/>
  <c r="M32" i="4" a="1"/>
  <c r="M32" i="4" s="1"/>
  <c r="M33" i="4" a="1"/>
  <c r="M33" i="4" s="1"/>
  <c r="M34" i="4" a="1"/>
  <c r="M34" i="4" s="1"/>
  <c r="M35" i="4" a="1"/>
  <c r="M35" i="4" s="1"/>
  <c r="M36" i="4" a="1"/>
  <c r="M36" i="4" s="1"/>
  <c r="M37" i="4" a="1"/>
  <c r="M37" i="4" s="1"/>
  <c r="M38" i="4" a="1"/>
  <c r="M38" i="4" s="1"/>
  <c r="M39" i="4" a="1"/>
  <c r="M39" i="4" s="1"/>
  <c r="M40" i="4" a="1"/>
  <c r="M40" i="4" s="1"/>
  <c r="M41" i="4" a="1"/>
  <c r="M41" i="4" s="1"/>
  <c r="M42" i="4" a="1"/>
  <c r="M42" i="4" s="1"/>
  <c r="M43" i="4" a="1"/>
  <c r="M43" i="4" s="1"/>
  <c r="M44" i="4" a="1"/>
  <c r="M44" i="4" s="1"/>
  <c r="M45" i="4" a="1"/>
  <c r="M45" i="4" s="1"/>
  <c r="M46" i="4" a="1"/>
  <c r="M46" i="4" s="1"/>
  <c r="M47" i="4" a="1"/>
  <c r="M47" i="4" s="1"/>
  <c r="M48" i="4" a="1"/>
  <c r="M48" i="4" s="1"/>
  <c r="M52" i="4" a="1"/>
  <c r="M52" i="4" s="1"/>
  <c r="M53" i="4" a="1"/>
  <c r="M53" i="4" s="1"/>
  <c r="M54" i="4" a="1"/>
  <c r="M54" i="4" s="1"/>
  <c r="M55" i="4" a="1"/>
  <c r="M55" i="4" s="1"/>
  <c r="M56" i="4" a="1"/>
  <c r="M56" i="4" s="1"/>
  <c r="M57" i="4" a="1"/>
  <c r="M57" i="4" s="1"/>
  <c r="M58" i="4" a="1"/>
  <c r="M58" i="4" s="1"/>
  <c r="M59" i="4" a="1"/>
  <c r="M59" i="4" s="1"/>
  <c r="M60" i="4" a="1"/>
  <c r="M60" i="4" s="1"/>
  <c r="L19" i="4" a="1"/>
  <c r="L19" i="4" s="1"/>
  <c r="L20" i="4" a="1"/>
  <c r="L20" i="4" s="1"/>
  <c r="L31" i="4" a="1"/>
  <c r="L31" i="4" s="1"/>
  <c r="L32" i="4" a="1"/>
  <c r="L32" i="4" s="1"/>
  <c r="L43" i="4" a="1"/>
  <c r="L43" i="4" s="1"/>
  <c r="L44" i="4" a="1"/>
  <c r="L44" i="4" s="1"/>
  <c r="L45" i="4" a="1"/>
  <c r="L45" i="4" s="1"/>
  <c r="L46" i="4" a="1"/>
  <c r="L46" i="4" s="1"/>
  <c r="L47" i="4" a="1"/>
  <c r="L47" i="4" s="1"/>
  <c r="L48" i="4" a="1"/>
  <c r="L48" i="4" s="1"/>
  <c r="L49" i="4" a="1"/>
  <c r="L49" i="4" s="1"/>
  <c r="L50" i="4" a="1"/>
  <c r="L50" i="4" s="1"/>
  <c r="L51" i="4" a="1"/>
  <c r="L51" i="4" s="1"/>
  <c r="L52" i="4" a="1"/>
  <c r="L52" i="4" s="1"/>
  <c r="L53" i="4" a="1"/>
  <c r="L53" i="4" s="1"/>
  <c r="L54" i="4" a="1"/>
  <c r="L54" i="4" s="1"/>
  <c r="L55" i="4" a="1"/>
  <c r="L55" i="4" s="1"/>
  <c r="L56" i="4" a="1"/>
  <c r="L56" i="4" s="1"/>
  <c r="L57" i="4" a="1"/>
  <c r="L57" i="4" s="1"/>
  <c r="L58" i="4" a="1"/>
  <c r="L58" i="4" s="1"/>
  <c r="L59" i="4" a="1"/>
  <c r="L59" i="4" s="1"/>
  <c r="L60" i="4" a="1"/>
  <c r="L60" i="4" s="1"/>
  <c r="L13" i="4" a="1"/>
  <c r="L13" i="4" s="1"/>
  <c r="K19" i="4" a="1"/>
  <c r="K19" i="4" s="1"/>
  <c r="K20" i="4" a="1"/>
  <c r="K20" i="4" s="1"/>
  <c r="K31" i="4" a="1"/>
  <c r="K31" i="4" s="1"/>
  <c r="K32" i="4" a="1"/>
  <c r="K32" i="4" s="1"/>
  <c r="K43" i="4" a="1"/>
  <c r="K43" i="4" s="1"/>
  <c r="K44" i="4" a="1"/>
  <c r="K44" i="4" s="1"/>
  <c r="K45" i="4" a="1"/>
  <c r="K45" i="4" s="1"/>
  <c r="K46" i="4" a="1"/>
  <c r="K46" i="4" s="1"/>
  <c r="K47" i="4" a="1"/>
  <c r="K47" i="4" s="1"/>
  <c r="K48" i="4" a="1"/>
  <c r="K48" i="4" s="1"/>
  <c r="K49" i="4" a="1"/>
  <c r="K49" i="4" s="1"/>
  <c r="K50" i="4" a="1"/>
  <c r="K50" i="4" s="1"/>
  <c r="K51" i="4" a="1"/>
  <c r="K51" i="4" s="1"/>
  <c r="K52" i="4" a="1"/>
  <c r="K52" i="4" s="1"/>
  <c r="K53" i="4" a="1"/>
  <c r="K53" i="4" s="1"/>
  <c r="K54" i="4" a="1"/>
  <c r="K54" i="4" s="1"/>
  <c r="K55" i="4" a="1"/>
  <c r="K55" i="4" s="1"/>
  <c r="K56" i="4" a="1"/>
  <c r="K56" i="4" s="1"/>
  <c r="K57" i="4" a="1"/>
  <c r="K57" i="4" s="1"/>
  <c r="K58" i="4" a="1"/>
  <c r="K58" i="4" s="1"/>
  <c r="K59" i="4" a="1"/>
  <c r="K59" i="4" s="1"/>
  <c r="K60" i="4" a="1"/>
  <c r="K60" i="4" s="1"/>
  <c r="K13" i="4" a="1"/>
  <c r="K13" i="4" s="1"/>
  <c r="H27" i="3" a="1"/>
  <c r="H27" i="3" s="1"/>
  <c r="H26" i="3" a="1"/>
  <c r="H26" i="3" s="1"/>
  <c r="H25" i="3" a="1"/>
  <c r="H25" i="3" s="1"/>
  <c r="H24" i="3" a="1"/>
  <c r="H24" i="3" s="1"/>
  <c r="I14" i="4" a="1"/>
  <c r="I14" i="4" s="1"/>
  <c r="I15" i="4" a="1"/>
  <c r="I15" i="4"/>
  <c r="I16" i="4" a="1"/>
  <c r="I16" i="4" s="1"/>
  <c r="I17" i="4" a="1"/>
  <c r="I17" i="4"/>
  <c r="I18" i="4" a="1"/>
  <c r="I18" i="4" s="1"/>
  <c r="I19" i="4" a="1"/>
  <c r="I19" i="4" s="1"/>
  <c r="I20" i="4" a="1"/>
  <c r="I20" i="4" s="1"/>
  <c r="I21" i="4" a="1"/>
  <c r="I21" i="4"/>
  <c r="I22" i="4" a="1"/>
  <c r="I22" i="4" s="1"/>
  <c r="I23" i="4" a="1"/>
  <c r="I23" i="4" s="1"/>
  <c r="I24" i="4" a="1"/>
  <c r="I24" i="4" s="1"/>
  <c r="I25" i="4" a="1"/>
  <c r="I25" i="4" s="1"/>
  <c r="I26" i="4" a="1"/>
  <c r="I26" i="4" s="1"/>
  <c r="I27" i="4" a="1"/>
  <c r="I27" i="4" s="1"/>
  <c r="I28" i="4" a="1"/>
  <c r="I28" i="4" s="1"/>
  <c r="I29" i="4" a="1"/>
  <c r="I29" i="4" s="1"/>
  <c r="I30" i="4" a="1"/>
  <c r="I30" i="4" s="1"/>
  <c r="I31" i="4" a="1"/>
  <c r="I31" i="4" s="1"/>
  <c r="I32" i="4" a="1"/>
  <c r="I32" i="4" s="1"/>
  <c r="I33" i="4" a="1"/>
  <c r="I33" i="4" s="1"/>
  <c r="I34" i="4" a="1"/>
  <c r="I34" i="4" s="1"/>
  <c r="I35" i="4" a="1"/>
  <c r="I35" i="4" s="1"/>
  <c r="I36" i="4" a="1"/>
  <c r="I36" i="4" s="1"/>
  <c r="I37" i="4" a="1"/>
  <c r="I37" i="4" s="1"/>
  <c r="I38" i="4" a="1"/>
  <c r="I38" i="4" s="1"/>
  <c r="I39" i="4" a="1"/>
  <c r="I39" i="4" s="1"/>
  <c r="I40" i="4" a="1"/>
  <c r="I40" i="4" s="1"/>
  <c r="I41" i="4" a="1"/>
  <c r="I41" i="4" s="1"/>
  <c r="I42" i="4" a="1"/>
  <c r="I42" i="4" s="1"/>
  <c r="I43" i="4" a="1"/>
  <c r="I43" i="4" s="1"/>
  <c r="I44" i="4" a="1"/>
  <c r="I44" i="4" s="1"/>
  <c r="I45" i="4" a="1"/>
  <c r="I45" i="4" s="1"/>
  <c r="I46" i="4" a="1"/>
  <c r="I46" i="4" s="1"/>
  <c r="I47" i="4" a="1"/>
  <c r="I47" i="4" s="1"/>
  <c r="I48" i="4" a="1"/>
  <c r="I48" i="4" s="1"/>
  <c r="I13" i="4" a="1"/>
  <c r="I13" i="4" s="1"/>
  <c r="J13" i="4" a="1"/>
  <c r="J13" i="4" s="1"/>
  <c r="D14" i="4"/>
  <c r="D15" i="4"/>
  <c r="D16" i="4"/>
  <c r="D17" i="4" s="1"/>
  <c r="D18" i="4" s="1"/>
  <c r="D19" i="4"/>
  <c r="D20" i="4"/>
  <c r="D21" i="4"/>
  <c r="D22" i="4"/>
  <c r="D23" i="4"/>
  <c r="D24" i="4"/>
  <c r="D25" i="4"/>
  <c r="D26" i="4" s="1"/>
  <c r="D27" i="4" s="1"/>
  <c r="D28" i="4" s="1"/>
  <c r="D29" i="4" s="1"/>
  <c r="D30" i="4" s="1"/>
  <c r="D31" i="4"/>
  <c r="D32" i="4"/>
  <c r="D33" i="4"/>
  <c r="D34" i="4"/>
  <c r="D35" i="4"/>
  <c r="D36" i="4"/>
  <c r="D37" i="4"/>
  <c r="D38" i="4" s="1"/>
  <c r="D39" i="4" s="1"/>
  <c r="D40" i="4" s="1"/>
  <c r="D41" i="4" s="1"/>
  <c r="D42" i="4" s="1"/>
  <c r="D43" i="4"/>
  <c r="D44" i="4"/>
  <c r="D45" i="4"/>
  <c r="D46" i="4"/>
  <c r="D47" i="4"/>
  <c r="D48" i="4"/>
  <c r="D49" i="4"/>
  <c r="I49" i="4" s="1" a="1"/>
  <c r="I49" i="4" s="1"/>
  <c r="D50" i="4"/>
  <c r="I50" i="4" s="1" a="1"/>
  <c r="I50" i="4" s="1"/>
  <c r="D51" i="4"/>
  <c r="I51" i="4" s="1" a="1"/>
  <c r="I51" i="4" s="1"/>
  <c r="D52" i="4"/>
  <c r="I52" i="4" s="1" a="1"/>
  <c r="I52" i="4" s="1"/>
  <c r="D53" i="4"/>
  <c r="I53" i="4" s="1" a="1"/>
  <c r="I53" i="4" s="1"/>
  <c r="D54" i="4"/>
  <c r="I54" i="4" s="1" a="1"/>
  <c r="I54" i="4" s="1"/>
  <c r="D55" i="4"/>
  <c r="I55" i="4" s="1" a="1"/>
  <c r="I55" i="4" s="1"/>
  <c r="D56" i="4"/>
  <c r="I56" i="4" s="1" a="1"/>
  <c r="I56" i="4" s="1"/>
  <c r="D57" i="4"/>
  <c r="I57" i="4" s="1" a="1"/>
  <c r="I57" i="4" s="1"/>
  <c r="D58" i="4"/>
  <c r="I58" i="4" s="1" a="1"/>
  <c r="I58" i="4" s="1"/>
  <c r="D59" i="4"/>
  <c r="I59" i="4" s="1" a="1"/>
  <c r="I59" i="4" s="1"/>
  <c r="D60" i="4"/>
  <c r="I60" i="4" s="1" a="1"/>
  <c r="I60" i="4" s="1"/>
  <c r="D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R49" i="4" s="1"/>
  <c r="F50" i="4"/>
  <c r="X50" i="4" s="1"/>
  <c r="F51" i="4"/>
  <c r="T51" i="4" s="1"/>
  <c r="F52" i="4"/>
  <c r="F53" i="4"/>
  <c r="F54" i="4"/>
  <c r="F55" i="4"/>
  <c r="F56" i="4"/>
  <c r="F57" i="4"/>
  <c r="F58" i="4"/>
  <c r="F59" i="4"/>
  <c r="F60" i="4"/>
  <c r="F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13" i="4"/>
  <c r="G14" i="4" a="1"/>
  <c r="G14" i="4" s="1"/>
  <c r="G15" i="4" a="1"/>
  <c r="G15" i="4" s="1"/>
  <c r="G16" i="4" a="1"/>
  <c r="G16" i="4" s="1"/>
  <c r="G17" i="4" a="1"/>
  <c r="G17" i="4" s="1"/>
  <c r="G18" i="4" a="1"/>
  <c r="G18" i="4" s="1"/>
  <c r="G19" i="4" a="1"/>
  <c r="G19" i="4"/>
  <c r="G20" i="4" a="1"/>
  <c r="G20" i="4" s="1"/>
  <c r="G21" i="4" a="1"/>
  <c r="G21" i="4" s="1"/>
  <c r="G22" i="4" a="1"/>
  <c r="G22" i="4" s="1"/>
  <c r="G23" i="4" a="1"/>
  <c r="G23" i="4" s="1"/>
  <c r="G24" i="4" a="1"/>
  <c r="G24" i="4" s="1"/>
  <c r="G25" i="4" a="1"/>
  <c r="G25" i="4"/>
  <c r="G26" i="4" a="1"/>
  <c r="G26" i="4" s="1"/>
  <c r="G27" i="4" a="1"/>
  <c r="G27" i="4" s="1"/>
  <c r="G28" i="4" a="1"/>
  <c r="G28" i="4" s="1"/>
  <c r="G29" i="4" a="1"/>
  <c r="G29" i="4" s="1"/>
  <c r="G30" i="4" a="1"/>
  <c r="G30" i="4" s="1"/>
  <c r="G31" i="4" a="1"/>
  <c r="G31" i="4"/>
  <c r="G32" i="4" a="1"/>
  <c r="G32" i="4" s="1"/>
  <c r="G33" i="4" a="1"/>
  <c r="G33" i="4" s="1"/>
  <c r="G34" i="4" a="1"/>
  <c r="G34" i="4" s="1"/>
  <c r="G35" i="4" a="1"/>
  <c r="G35" i="4" s="1"/>
  <c r="G36" i="4" a="1"/>
  <c r="G36" i="4" s="1"/>
  <c r="G37" i="4" a="1"/>
  <c r="G37" i="4"/>
  <c r="G38" i="4" a="1"/>
  <c r="G38" i="4" s="1"/>
  <c r="G39" i="4" a="1"/>
  <c r="G39" i="4" s="1"/>
  <c r="G40" i="4" a="1"/>
  <c r="G40" i="4" s="1"/>
  <c r="G41" i="4" a="1"/>
  <c r="G41" i="4" s="1"/>
  <c r="G42" i="4" a="1"/>
  <c r="G42" i="4" s="1"/>
  <c r="G43" i="4" a="1"/>
  <c r="G43" i="4"/>
  <c r="G44" i="4" a="1"/>
  <c r="G44" i="4" s="1"/>
  <c r="G45" i="4" a="1"/>
  <c r="G45" i="4" s="1"/>
  <c r="G46" i="4" a="1"/>
  <c r="G46" i="4" s="1"/>
  <c r="G47" i="4" a="1"/>
  <c r="G47" i="4" s="1"/>
  <c r="G48" i="4" a="1"/>
  <c r="G48" i="4" s="1"/>
  <c r="G49" i="4" a="1"/>
  <c r="G49" i="4"/>
  <c r="G50" i="4" a="1"/>
  <c r="G50" i="4" s="1"/>
  <c r="G51" i="4" a="1"/>
  <c r="G51" i="4" s="1"/>
  <c r="G52" i="4" a="1"/>
  <c r="G52" i="4" s="1"/>
  <c r="G53" i="4" a="1"/>
  <c r="G53" i="4" s="1"/>
  <c r="G54" i="4" a="1"/>
  <c r="G54" i="4" s="1"/>
  <c r="G55" i="4" a="1"/>
  <c r="G55" i="4"/>
  <c r="G56" i="4" a="1"/>
  <c r="G56" i="4" s="1"/>
  <c r="G57" i="4" a="1"/>
  <c r="G57" i="4" s="1"/>
  <c r="G58" i="4" a="1"/>
  <c r="G58" i="4" s="1"/>
  <c r="G59" i="4" a="1"/>
  <c r="G59" i="4" s="1"/>
  <c r="G60" i="4" a="1"/>
  <c r="G60" i="4" s="1"/>
  <c r="G13" i="4" a="1"/>
  <c r="G13" i="4" s="1"/>
  <c r="E14" i="4" a="1"/>
  <c r="E14" i="4" s="1"/>
  <c r="E15" i="4" a="1"/>
  <c r="E15" i="4" s="1"/>
  <c r="E16" i="4" a="1"/>
  <c r="E16" i="4" s="1"/>
  <c r="E17" i="4" a="1"/>
  <c r="E17" i="4" s="1"/>
  <c r="E18" i="4" a="1"/>
  <c r="E18" i="4" s="1"/>
  <c r="E19" i="4" a="1"/>
  <c r="E19" i="4"/>
  <c r="E20" i="4" a="1"/>
  <c r="E20" i="4" s="1"/>
  <c r="E21" i="4" a="1"/>
  <c r="E21" i="4" s="1"/>
  <c r="E22" i="4" a="1"/>
  <c r="E22" i="4" s="1"/>
  <c r="E23" i="4" a="1"/>
  <c r="E23" i="4" s="1"/>
  <c r="E24" i="4" a="1"/>
  <c r="E24" i="4" s="1"/>
  <c r="E25" i="4" a="1"/>
  <c r="E25" i="4"/>
  <c r="E26" i="4" a="1"/>
  <c r="E26" i="4" s="1"/>
  <c r="E27" i="4" a="1"/>
  <c r="E27" i="4" s="1"/>
  <c r="E28" i="4" a="1"/>
  <c r="E28" i="4" s="1"/>
  <c r="E29" i="4" a="1"/>
  <c r="E29" i="4" s="1"/>
  <c r="E30" i="4" a="1"/>
  <c r="E30" i="4" s="1"/>
  <c r="E31" i="4" a="1"/>
  <c r="E31" i="4"/>
  <c r="E32" i="4" a="1"/>
  <c r="E32" i="4" s="1"/>
  <c r="E33" i="4" a="1"/>
  <c r="E33" i="4" s="1"/>
  <c r="E34" i="4" a="1"/>
  <c r="E34" i="4" s="1"/>
  <c r="E35" i="4" a="1"/>
  <c r="E35" i="4" s="1"/>
  <c r="E36" i="4" a="1"/>
  <c r="E36" i="4" s="1"/>
  <c r="E37" i="4" a="1"/>
  <c r="E37" i="4"/>
  <c r="E38" i="4" a="1"/>
  <c r="E38" i="4" s="1"/>
  <c r="E39" i="4" a="1"/>
  <c r="E39" i="4" s="1"/>
  <c r="E40" i="4" a="1"/>
  <c r="E40" i="4" s="1"/>
  <c r="E41" i="4" a="1"/>
  <c r="E41" i="4" s="1"/>
  <c r="E42" i="4" a="1"/>
  <c r="E42" i="4" s="1"/>
  <c r="E43" i="4" a="1"/>
  <c r="E43" i="4"/>
  <c r="E44" i="4" a="1"/>
  <c r="E44" i="4" s="1"/>
  <c r="E45" i="4" a="1"/>
  <c r="E45" i="4" s="1"/>
  <c r="E46" i="4" a="1"/>
  <c r="E46" i="4" s="1"/>
  <c r="E47" i="4" a="1"/>
  <c r="E47" i="4" s="1"/>
  <c r="E48" i="4" a="1"/>
  <c r="E48" i="4" s="1"/>
  <c r="E52" i="4" a="1"/>
  <c r="E52" i="4" s="1"/>
  <c r="E53" i="4" a="1"/>
  <c r="E53" i="4" s="1"/>
  <c r="E54" i="4" a="1"/>
  <c r="E54" i="4" s="1"/>
  <c r="E55" i="4" a="1"/>
  <c r="E55" i="4"/>
  <c r="E56" i="4" a="1"/>
  <c r="E56" i="4" s="1"/>
  <c r="E57" i="4" a="1"/>
  <c r="E57" i="4" s="1"/>
  <c r="E58" i="4" a="1"/>
  <c r="E58" i="4" s="1"/>
  <c r="E59" i="4" a="1"/>
  <c r="E59" i="4" s="1"/>
  <c r="E60" i="4" a="1"/>
  <c r="E60" i="4" s="1"/>
  <c r="E13" i="4" a="1"/>
  <c r="E13" i="4" s="1"/>
  <c r="C13" i="4" a="1"/>
  <c r="C13" i="4" s="1"/>
  <c r="C14" i="4" s="1" a="1"/>
  <c r="C14" i="4" s="1"/>
  <c r="E20" i="5" a="1"/>
  <c r="E20" i="5" s="1"/>
  <c r="E19" i="5" a="1"/>
  <c r="E19" i="5" s="1"/>
  <c r="D75" i="5" s="1"/>
  <c r="F75" i="5" s="1"/>
  <c r="C9" i="6"/>
  <c r="C10" i="6" s="1"/>
  <c r="C11" i="6" s="1"/>
  <c r="C12" i="6" s="1"/>
  <c r="C13" i="6" s="1"/>
  <c r="C14" i="6" s="1"/>
  <c r="C15" i="6" s="1"/>
  <c r="C16" i="6" s="1"/>
  <c r="C17" i="6" s="1"/>
  <c r="C18" i="6" s="1"/>
  <c r="E12" i="5" a="1"/>
  <c r="E12" i="5" s="1"/>
  <c r="E11" i="5"/>
  <c r="E9" i="5"/>
  <c r="H12" i="3" a="1"/>
  <c r="H12" i="3" s="1"/>
  <c r="H23" i="3" a="1"/>
  <c r="H23" i="3" s="1"/>
  <c r="H15" i="3" a="1"/>
  <c r="H15" i="3" s="1"/>
  <c r="H13" i="3" a="1"/>
  <c r="H13" i="3" s="1"/>
  <c r="FA57" i="2"/>
  <c r="FA56" i="2"/>
  <c r="FA55" i="2"/>
  <c r="FA54" i="2"/>
  <c r="FA53" i="2"/>
  <c r="FA52" i="2"/>
  <c r="FA51" i="2"/>
  <c r="FA50" i="2"/>
  <c r="FA49" i="2"/>
  <c r="FA48" i="2"/>
  <c r="FA47" i="2"/>
  <c r="FA46" i="2"/>
  <c r="FA45" i="2"/>
  <c r="FA44" i="2"/>
  <c r="FA40" i="2"/>
  <c r="FA39" i="2"/>
  <c r="FA38" i="2"/>
  <c r="FA37" i="2"/>
  <c r="FA36" i="2"/>
  <c r="FA35" i="2"/>
  <c r="FA34" i="2"/>
  <c r="FA33" i="2"/>
  <c r="FA32" i="2"/>
  <c r="FA31" i="2"/>
  <c r="FA30" i="2"/>
  <c r="FA29" i="2"/>
  <c r="FA28" i="2"/>
  <c r="FA27" i="2"/>
  <c r="FA23" i="2"/>
  <c r="FA22" i="2"/>
  <c r="FA21" i="2"/>
  <c r="FA20" i="2"/>
  <c r="FA19" i="2"/>
  <c r="FA18" i="2"/>
  <c r="FA17" i="2"/>
  <c r="FA16" i="2"/>
  <c r="FA15" i="2"/>
  <c r="FA14" i="2"/>
  <c r="FA13" i="2"/>
  <c r="FA12" i="2"/>
  <c r="FA11" i="2"/>
  <c r="FA10" i="2"/>
  <c r="EM57" i="2"/>
  <c r="EM56" i="2"/>
  <c r="EM55" i="2"/>
  <c r="EM54" i="2"/>
  <c r="EM53" i="2"/>
  <c r="EM52" i="2"/>
  <c r="EM51" i="2"/>
  <c r="EM50" i="2"/>
  <c r="EM49" i="2"/>
  <c r="EM48" i="2"/>
  <c r="EM47" i="2"/>
  <c r="EM46" i="2"/>
  <c r="EM45" i="2"/>
  <c r="EM44" i="2"/>
  <c r="EM40" i="2"/>
  <c r="EM39" i="2"/>
  <c r="EM38" i="2"/>
  <c r="EM37" i="2"/>
  <c r="EM36" i="2"/>
  <c r="EM35" i="2"/>
  <c r="EM34" i="2"/>
  <c r="EM33" i="2"/>
  <c r="EM32" i="2"/>
  <c r="EM31" i="2"/>
  <c r="EM30" i="2"/>
  <c r="EM29" i="2"/>
  <c r="EM28" i="2"/>
  <c r="EM27" i="2"/>
  <c r="EM23" i="2"/>
  <c r="EM22" i="2"/>
  <c r="EM21" i="2"/>
  <c r="EM20" i="2"/>
  <c r="EM19" i="2"/>
  <c r="EM18" i="2"/>
  <c r="EM17" i="2"/>
  <c r="EM16" i="2"/>
  <c r="EM15" i="2"/>
  <c r="EM14" i="2"/>
  <c r="EM13" i="2"/>
  <c r="EM12" i="2"/>
  <c r="EM11" i="2"/>
  <c r="EM10" i="2"/>
  <c r="DY57" i="2"/>
  <c r="DY56" i="2"/>
  <c r="DY55" i="2"/>
  <c r="DY54" i="2"/>
  <c r="DY53" i="2"/>
  <c r="DY52" i="2"/>
  <c r="DY51" i="2"/>
  <c r="DY50" i="2"/>
  <c r="DY49" i="2"/>
  <c r="DY48" i="2"/>
  <c r="DY47" i="2"/>
  <c r="DY46" i="2"/>
  <c r="DY45" i="2"/>
  <c r="DY44" i="2"/>
  <c r="DY40" i="2"/>
  <c r="DY39" i="2"/>
  <c r="DY38" i="2"/>
  <c r="DY37" i="2"/>
  <c r="DY36" i="2"/>
  <c r="DY35" i="2"/>
  <c r="DY34" i="2"/>
  <c r="DY33" i="2"/>
  <c r="DY32" i="2"/>
  <c r="DY31" i="2"/>
  <c r="DY30" i="2"/>
  <c r="DY29" i="2"/>
  <c r="DY28" i="2"/>
  <c r="DY27" i="2"/>
  <c r="DY23" i="2"/>
  <c r="DY22" i="2"/>
  <c r="DY21" i="2"/>
  <c r="DY20" i="2"/>
  <c r="DY19" i="2"/>
  <c r="DY18" i="2"/>
  <c r="DY17" i="2"/>
  <c r="DY16" i="2"/>
  <c r="DY15" i="2"/>
  <c r="DY14" i="2"/>
  <c r="DY13" i="2"/>
  <c r="DY12" i="2"/>
  <c r="DY11" i="2"/>
  <c r="DY10" i="2"/>
  <c r="DK57" i="2"/>
  <c r="DK56" i="2"/>
  <c r="DK55" i="2"/>
  <c r="DK54" i="2"/>
  <c r="DK53" i="2"/>
  <c r="DK52" i="2"/>
  <c r="DK51" i="2"/>
  <c r="DK50" i="2"/>
  <c r="DK49" i="2"/>
  <c r="DK48" i="2"/>
  <c r="DK47" i="2"/>
  <c r="DK46" i="2"/>
  <c r="DK45" i="2"/>
  <c r="DK44" i="2"/>
  <c r="DK40" i="2"/>
  <c r="DK39" i="2"/>
  <c r="DK38" i="2"/>
  <c r="DK37" i="2"/>
  <c r="DK36" i="2"/>
  <c r="DK35" i="2"/>
  <c r="DK34" i="2"/>
  <c r="DK33" i="2"/>
  <c r="DK32" i="2"/>
  <c r="DK31" i="2"/>
  <c r="DK30" i="2"/>
  <c r="DK29" i="2"/>
  <c r="DK28" i="2"/>
  <c r="DK27" i="2"/>
  <c r="DK23" i="2"/>
  <c r="DK22" i="2"/>
  <c r="DK21" i="2"/>
  <c r="DK20" i="2"/>
  <c r="DK19" i="2"/>
  <c r="DK18" i="2"/>
  <c r="DK17" i="2"/>
  <c r="DK16" i="2"/>
  <c r="DK15" i="2"/>
  <c r="DK14" i="2"/>
  <c r="DK13" i="2"/>
  <c r="DK12" i="2"/>
  <c r="DK11" i="2"/>
  <c r="DK10" i="2"/>
  <c r="CW57" i="2"/>
  <c r="CW56" i="2"/>
  <c r="CW55" i="2"/>
  <c r="CW54" i="2"/>
  <c r="CW53" i="2"/>
  <c r="CW52" i="2"/>
  <c r="CW51" i="2"/>
  <c r="CW50" i="2"/>
  <c r="CW49" i="2"/>
  <c r="CW48" i="2"/>
  <c r="CW47" i="2"/>
  <c r="CW46" i="2"/>
  <c r="CW45" i="2"/>
  <c r="CW44" i="2"/>
  <c r="CW40" i="2"/>
  <c r="CW39" i="2"/>
  <c r="CW38" i="2"/>
  <c r="CW37" i="2"/>
  <c r="CW36" i="2"/>
  <c r="CW35" i="2"/>
  <c r="CW34" i="2"/>
  <c r="CW33" i="2"/>
  <c r="CW32" i="2"/>
  <c r="CW31" i="2"/>
  <c r="CW30" i="2"/>
  <c r="CW29" i="2"/>
  <c r="CW28" i="2"/>
  <c r="CW27" i="2"/>
  <c r="CW23" i="2"/>
  <c r="CW22" i="2"/>
  <c r="CW21" i="2"/>
  <c r="CW20" i="2"/>
  <c r="CW19" i="2"/>
  <c r="CW18" i="2"/>
  <c r="CW17" i="2"/>
  <c r="CW16" i="2"/>
  <c r="CW15" i="2"/>
  <c r="CW14" i="2"/>
  <c r="CW13" i="2"/>
  <c r="CW12" i="2"/>
  <c r="CW11" i="2"/>
  <c r="CW10" i="2"/>
  <c r="CI57" i="2"/>
  <c r="CI56" i="2"/>
  <c r="CI55" i="2"/>
  <c r="CI54" i="2"/>
  <c r="CI53" i="2"/>
  <c r="CI52" i="2"/>
  <c r="CI51" i="2"/>
  <c r="CI50" i="2"/>
  <c r="CI49" i="2"/>
  <c r="CI48" i="2"/>
  <c r="CI47" i="2"/>
  <c r="CI46" i="2"/>
  <c r="CI45" i="2"/>
  <c r="CI44" i="2"/>
  <c r="CI40" i="2"/>
  <c r="CI39" i="2"/>
  <c r="CI38" i="2"/>
  <c r="CI37" i="2"/>
  <c r="CI36" i="2"/>
  <c r="CI35" i="2"/>
  <c r="CI34" i="2"/>
  <c r="CI33" i="2"/>
  <c r="CI32" i="2"/>
  <c r="CI31" i="2"/>
  <c r="CI30" i="2"/>
  <c r="CI29" i="2"/>
  <c r="CI28" i="2"/>
  <c r="CI27" i="2"/>
  <c r="CI23" i="2"/>
  <c r="CI22" i="2"/>
  <c r="CI21" i="2"/>
  <c r="CI20" i="2"/>
  <c r="CI19" i="2"/>
  <c r="CI18" i="2"/>
  <c r="CI17" i="2"/>
  <c r="CI16" i="2"/>
  <c r="CI15" i="2"/>
  <c r="CI14" i="2"/>
  <c r="CI13" i="2"/>
  <c r="CI12" i="2"/>
  <c r="CI11" i="2"/>
  <c r="CI10" i="2"/>
  <c r="BU57" i="2"/>
  <c r="BU56" i="2"/>
  <c r="BU55" i="2"/>
  <c r="BU54" i="2"/>
  <c r="BU53" i="2"/>
  <c r="BU52" i="2"/>
  <c r="BU51" i="2"/>
  <c r="BU50" i="2"/>
  <c r="BU49" i="2"/>
  <c r="BU48" i="2"/>
  <c r="BU47" i="2"/>
  <c r="BU46" i="2"/>
  <c r="BU45" i="2"/>
  <c r="BU44" i="2"/>
  <c r="BU40" i="2"/>
  <c r="BU39" i="2"/>
  <c r="BU38" i="2"/>
  <c r="BU37" i="2"/>
  <c r="BU36" i="2"/>
  <c r="BU35" i="2"/>
  <c r="BU34" i="2"/>
  <c r="BU33" i="2"/>
  <c r="BU32" i="2"/>
  <c r="BU31" i="2"/>
  <c r="BU30" i="2"/>
  <c r="BU29" i="2"/>
  <c r="BU28" i="2"/>
  <c r="BU27" i="2"/>
  <c r="BU23" i="2"/>
  <c r="BU22" i="2"/>
  <c r="BU21" i="2"/>
  <c r="BU20" i="2"/>
  <c r="BU19" i="2"/>
  <c r="BU18" i="2"/>
  <c r="BU17" i="2"/>
  <c r="BU16" i="2"/>
  <c r="BU15" i="2"/>
  <c r="BU14" i="2"/>
  <c r="BU13" i="2"/>
  <c r="BU12" i="2"/>
  <c r="BU11" i="2"/>
  <c r="BU10" i="2"/>
  <c r="BG57" i="2"/>
  <c r="BG56" i="2"/>
  <c r="BG55" i="2"/>
  <c r="BG54" i="2"/>
  <c r="BG53" i="2"/>
  <c r="BG52" i="2"/>
  <c r="BG51" i="2"/>
  <c r="BG50" i="2"/>
  <c r="BG49" i="2"/>
  <c r="BG48" i="2"/>
  <c r="BG47" i="2"/>
  <c r="BG46" i="2"/>
  <c r="BG45" i="2"/>
  <c r="BG44" i="2"/>
  <c r="BG40" i="2"/>
  <c r="BG39" i="2"/>
  <c r="BG38" i="2"/>
  <c r="BG37" i="2"/>
  <c r="BG36" i="2"/>
  <c r="BG35" i="2"/>
  <c r="BG34" i="2"/>
  <c r="BG33" i="2"/>
  <c r="BG32" i="2"/>
  <c r="BG31" i="2"/>
  <c r="BG30" i="2"/>
  <c r="BG29" i="2"/>
  <c r="BG28" i="2"/>
  <c r="BG27" i="2"/>
  <c r="BG23" i="2"/>
  <c r="BG22" i="2"/>
  <c r="BG21" i="2"/>
  <c r="BG20" i="2"/>
  <c r="BG19" i="2"/>
  <c r="BG18" i="2"/>
  <c r="BG17" i="2"/>
  <c r="BG16" i="2"/>
  <c r="BG15" i="2"/>
  <c r="BG14" i="2"/>
  <c r="BG13" i="2"/>
  <c r="BG12" i="2"/>
  <c r="BG11" i="2"/>
  <c r="BG10" i="2"/>
  <c r="AS57" i="2"/>
  <c r="AS56" i="2"/>
  <c r="AS55" i="2"/>
  <c r="AS54" i="2"/>
  <c r="AS53" i="2"/>
  <c r="AS52" i="2"/>
  <c r="AS51" i="2"/>
  <c r="AS50" i="2"/>
  <c r="AS49" i="2"/>
  <c r="AS48" i="2"/>
  <c r="AS47" i="2"/>
  <c r="AS46" i="2"/>
  <c r="AS45" i="2"/>
  <c r="AS44" i="2"/>
  <c r="AS40" i="2"/>
  <c r="AS39" i="2"/>
  <c r="AS38" i="2"/>
  <c r="AS37" i="2"/>
  <c r="AS36" i="2"/>
  <c r="AS35" i="2"/>
  <c r="AS34" i="2"/>
  <c r="AS33" i="2"/>
  <c r="AS32" i="2"/>
  <c r="AS31" i="2"/>
  <c r="AS30" i="2"/>
  <c r="AS29" i="2"/>
  <c r="AS28" i="2"/>
  <c r="AS27" i="2"/>
  <c r="AS23" i="2"/>
  <c r="AS22" i="2"/>
  <c r="AS21" i="2"/>
  <c r="AS20" i="2"/>
  <c r="AS19" i="2"/>
  <c r="AS18" i="2"/>
  <c r="AS17" i="2"/>
  <c r="AS16" i="2"/>
  <c r="AS15" i="2"/>
  <c r="AS14" i="2"/>
  <c r="AS13" i="2"/>
  <c r="AS12" i="2"/>
  <c r="AS11" i="2"/>
  <c r="AS10" i="2"/>
  <c r="AE57" i="2"/>
  <c r="AE56" i="2"/>
  <c r="AE55" i="2"/>
  <c r="AE54" i="2"/>
  <c r="AE53" i="2"/>
  <c r="AE52" i="2"/>
  <c r="AE51" i="2"/>
  <c r="AE50" i="2"/>
  <c r="AE49" i="2"/>
  <c r="AE48" i="2"/>
  <c r="AE47" i="2"/>
  <c r="AE46" i="2"/>
  <c r="AE45" i="2"/>
  <c r="AE44" i="2"/>
  <c r="AE40" i="2"/>
  <c r="AE39" i="2"/>
  <c r="AE38" i="2"/>
  <c r="AE37" i="2"/>
  <c r="AE36" i="2"/>
  <c r="AE35" i="2"/>
  <c r="AE34" i="2"/>
  <c r="AE33" i="2"/>
  <c r="AE32" i="2"/>
  <c r="AE31" i="2"/>
  <c r="AE30" i="2"/>
  <c r="AE29" i="2"/>
  <c r="AE28" i="2"/>
  <c r="AE27" i="2"/>
  <c r="AE23" i="2"/>
  <c r="AE22" i="2"/>
  <c r="AE21" i="2"/>
  <c r="AE20" i="2"/>
  <c r="AE19" i="2"/>
  <c r="AE18" i="2"/>
  <c r="AE17" i="2"/>
  <c r="AE16" i="2"/>
  <c r="AE15" i="2"/>
  <c r="AE14" i="2"/>
  <c r="AE13" i="2"/>
  <c r="AE12" i="2"/>
  <c r="AE11" i="2"/>
  <c r="AE10" i="2"/>
  <c r="Q57" i="2"/>
  <c r="Q56" i="2"/>
  <c r="Q55" i="2"/>
  <c r="Q54" i="2"/>
  <c r="Q53" i="2"/>
  <c r="Q52" i="2"/>
  <c r="Q51" i="2"/>
  <c r="Q50" i="2"/>
  <c r="Q49" i="2"/>
  <c r="Q48" i="2"/>
  <c r="Q47" i="2"/>
  <c r="Q46" i="2"/>
  <c r="Q45" i="2"/>
  <c r="Q44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10" i="2"/>
  <c r="E5" i="2"/>
  <c r="G26" i="2" s="1"/>
  <c r="F24" i="2" a="1"/>
  <c r="CW24" i="2" a="1"/>
  <c r="EO24" i="2" a="1"/>
  <c r="CE24" i="2" a="1"/>
  <c r="EY24" i="2" a="1"/>
  <c r="BO24" i="2" a="1"/>
  <c r="CM24" i="2" a="1"/>
  <c r="FA24" i="2" a="1"/>
  <c r="V24" i="2" a="1"/>
  <c r="CZ24" i="2" a="1"/>
  <c r="EV24" i="2" a="1"/>
  <c r="BF24" i="2" a="1"/>
  <c r="BG24" i="2" a="1"/>
  <c r="AX24" i="2" a="1"/>
  <c r="AC24" i="2" a="1"/>
  <c r="E24" i="2" a="1"/>
  <c r="BP24" i="2" a="1"/>
  <c r="BT24" i="2" a="1"/>
  <c r="CO24" i="2" a="1"/>
  <c r="CC24" i="2" a="1"/>
  <c r="BL24" i="2" a="1"/>
  <c r="DE24" i="2" a="1"/>
  <c r="EP24" i="2" a="1"/>
  <c r="EF24" i="2" a="1"/>
  <c r="DG24" i="2" a="1"/>
  <c r="AQ24" i="2" a="1"/>
  <c r="BY24" i="2" a="1"/>
  <c r="P24" i="2" a="1"/>
  <c r="DB24" i="2" a="1"/>
  <c r="CR24" i="2" a="1"/>
  <c r="U24" i="2" a="1"/>
  <c r="DH24" i="2" a="1"/>
  <c r="BD24" i="2" a="1"/>
  <c r="Y24" i="2" a="1"/>
  <c r="AP24" i="2" a="1"/>
  <c r="I24" i="2" a="1"/>
  <c r="BM24" i="2" a="1"/>
  <c r="AI24" i="2" a="1"/>
  <c r="BA24" i="2" a="1"/>
  <c r="CU24" i="2" a="1"/>
  <c r="BC24" i="2" a="1"/>
  <c r="DW24" i="2" a="1"/>
  <c r="CI24" i="2" a="1"/>
  <c r="AL24" i="2" a="1"/>
  <c r="BB24" i="2" a="1"/>
  <c r="DJ24" i="2" a="1"/>
  <c r="DK24" i="2" a="1"/>
  <c r="Z24" i="2" a="1"/>
  <c r="ER24" i="2" a="1"/>
  <c r="AS24" i="2" a="1"/>
  <c r="CN24" i="2" a="1"/>
  <c r="S24" i="2" a="1"/>
  <c r="BI24" i="2" a="1"/>
  <c r="EZ24" i="2" a="1"/>
  <c r="DQ24" i="2" a="1"/>
  <c r="BN24" i="2" a="1"/>
  <c r="CT24" i="2" a="1"/>
  <c r="AN24" i="2" a="1"/>
  <c r="CP24" i="2" a="1"/>
  <c r="EB24" i="2" a="1"/>
  <c r="AB24" i="2" a="1"/>
  <c r="AO24" i="2" a="1"/>
  <c r="O24" i="2" a="1"/>
  <c r="EL24" i="2" a="1"/>
  <c r="CY24" i="2" a="1"/>
  <c r="DF24" i="2" a="1"/>
  <c r="EC24" i="2" a="1"/>
  <c r="EA24" i="2" a="1"/>
  <c r="AK24" i="2" a="1"/>
  <c r="DU24" i="2" a="1"/>
  <c r="DS24" i="2" a="1"/>
  <c r="DN24" i="2" a="1"/>
  <c r="AD24" i="2" a="1"/>
  <c r="CB24" i="2" a="1"/>
  <c r="CD24" i="2" a="1"/>
  <c r="G24" i="2" a="1"/>
  <c r="J24" i="2" a="1"/>
  <c r="ET24" i="2" a="1"/>
  <c r="BK24" i="2" a="1"/>
  <c r="DD24" i="2" a="1"/>
  <c r="DX24" i="2" a="1"/>
  <c r="Q24" i="2" a="1"/>
  <c r="DP24" i="2" a="1"/>
  <c r="BW24" i="2" a="1"/>
  <c r="X24" i="2" a="1"/>
  <c r="DY24" i="2" a="1"/>
  <c r="EI24" i="2" a="1"/>
  <c r="DA24" i="2" a="1"/>
  <c r="W24" i="2" a="1"/>
  <c r="CA24" i="2" a="1"/>
  <c r="EQ24" i="2" a="1"/>
  <c r="AY24" i="2" a="1"/>
  <c r="DR24" i="2" a="1"/>
  <c r="CL24" i="2" a="1"/>
  <c r="BR24" i="2" a="1"/>
  <c r="AW24" i="2" a="1"/>
  <c r="EG24" i="2" a="1"/>
  <c r="AM24" i="2" a="1"/>
  <c r="DC24" i="2" a="1"/>
  <c r="DV24" i="2" a="1"/>
  <c r="M24" i="2" a="1"/>
  <c r="AV24" i="2" a="1"/>
  <c r="BQ24" i="2" a="1"/>
  <c r="EJ24" i="2" a="1"/>
  <c r="AE24" i="2" a="1"/>
  <c r="DO24" i="2" a="1"/>
  <c r="ED24" i="2" a="1"/>
  <c r="EU24" i="2" a="1"/>
  <c r="CK24" i="2" a="1"/>
  <c r="BX24" i="2" a="1"/>
  <c r="EK24" i="2" a="1"/>
  <c r="CV24" i="2" a="1"/>
  <c r="BE24" i="2" a="1"/>
  <c r="AR24" i="2" a="1"/>
  <c r="AJ24" i="2" a="1"/>
  <c r="DT24" i="2" a="1"/>
  <c r="N24" i="2" a="1"/>
  <c r="BU24" i="2" a="1"/>
  <c r="EX24" i="2" a="1"/>
  <c r="CH24" i="2" a="1"/>
  <c r="EW24" i="2" a="1"/>
  <c r="BJ24" i="2" a="1"/>
  <c r="T24" i="2" a="1"/>
  <c r="AG24" i="2" a="1"/>
  <c r="CF24" i="2" a="1"/>
  <c r="K24" i="2" a="1"/>
  <c r="CQ24" i="2" a="1"/>
  <c r="EE24" i="2" a="1"/>
  <c r="CG24" i="2" a="1"/>
  <c r="EH24" i="2" a="1"/>
  <c r="CS24" i="2" a="1"/>
  <c r="DI24" i="2" a="1"/>
  <c r="AA24" i="2" a="1"/>
  <c r="DM24" i="2" a="1"/>
  <c r="L24" i="2" a="1"/>
  <c r="BS24" i="2" a="1"/>
  <c r="ES24" i="2" a="1"/>
  <c r="BZ24" i="2" a="1"/>
  <c r="AU24" i="2" a="1"/>
  <c r="AZ24" i="2" a="1"/>
  <c r="AH24" i="2" a="1"/>
  <c r="H24" i="2" a="1"/>
  <c r="EM24" i="2" a="1"/>
  <c r="E22" i="5" l="1"/>
  <c r="E23" i="5" s="1" a="1"/>
  <c r="E23" i="5" s="1"/>
  <c r="S49" i="4"/>
  <c r="P51" i="4"/>
  <c r="Q51" i="4"/>
  <c r="O51" i="4"/>
  <c r="N51" i="4" a="1"/>
  <c r="N51" i="4" s="1"/>
  <c r="M51" i="4" a="1"/>
  <c r="M51" i="4" s="1"/>
  <c r="W51" i="4"/>
  <c r="X51" i="4"/>
  <c r="U51" i="4"/>
  <c r="R51" i="4"/>
  <c r="S51" i="4"/>
  <c r="V51" i="4"/>
  <c r="P50" i="4"/>
  <c r="R50" i="4"/>
  <c r="O50" i="4"/>
  <c r="Q50" i="4"/>
  <c r="S50" i="4"/>
  <c r="U50" i="4"/>
  <c r="M50" i="4" a="1"/>
  <c r="M50" i="4" s="1"/>
  <c r="N50" i="4" a="1"/>
  <c r="N50" i="4" s="1"/>
  <c r="T50" i="4"/>
  <c r="W50" i="4"/>
  <c r="V50" i="4"/>
  <c r="T49" i="4"/>
  <c r="U49" i="4"/>
  <c r="V49" i="4"/>
  <c r="W49" i="4"/>
  <c r="X49" i="4"/>
  <c r="M49" i="4" a="1"/>
  <c r="M49" i="4" s="1"/>
  <c r="O49" i="4"/>
  <c r="P49" i="4"/>
  <c r="N49" i="4" a="1"/>
  <c r="N49" i="4" s="1"/>
  <c r="Q49" i="4"/>
  <c r="D71" i="5"/>
  <c r="D79" i="5"/>
  <c r="F79" i="5" s="1"/>
  <c r="J79" i="5" s="1" a="1"/>
  <c r="J79" i="5" s="1"/>
  <c r="D83" i="5"/>
  <c r="D87" i="5"/>
  <c r="F77" i="5"/>
  <c r="G77" i="5" s="1"/>
  <c r="D91" i="5"/>
  <c r="F91" i="5" s="1"/>
  <c r="G91" i="5" s="1"/>
  <c r="D95" i="5"/>
  <c r="F96" i="5" s="1"/>
  <c r="J96" i="5" s="1" a="1"/>
  <c r="J96" i="5" s="1"/>
  <c r="J91" i="5" a="1"/>
  <c r="J91" i="5" s="1"/>
  <c r="J77" i="5" a="1"/>
  <c r="J77" i="5" s="1"/>
  <c r="D99" i="5"/>
  <c r="J75" i="5" a="1"/>
  <c r="J75" i="5" s="1"/>
  <c r="D59" i="5"/>
  <c r="F59" i="5" s="1"/>
  <c r="G59" i="5" s="1"/>
  <c r="D63" i="5"/>
  <c r="F63" i="5" s="1"/>
  <c r="J63" i="5" s="1" a="1"/>
  <c r="J63" i="5" s="1"/>
  <c r="D67" i="5"/>
  <c r="F67" i="5" s="1"/>
  <c r="G67" i="5" s="1"/>
  <c r="F76" i="5"/>
  <c r="J76" i="5" s="1" a="1"/>
  <c r="J76" i="5" s="1"/>
  <c r="G75" i="5"/>
  <c r="K14" i="4" a="1"/>
  <c r="K14" i="4" s="1"/>
  <c r="D55" i="5"/>
  <c r="K36" i="4" a="1"/>
  <c r="K36" i="4" s="1"/>
  <c r="K35" i="4" a="1"/>
  <c r="K35" i="4" s="1"/>
  <c r="K24" i="4" a="1"/>
  <c r="K24" i="4" s="1"/>
  <c r="K23" i="4" a="1"/>
  <c r="K23" i="4" s="1"/>
  <c r="K37" i="4" a="1"/>
  <c r="K37" i="4" s="1"/>
  <c r="K25" i="4" a="1"/>
  <c r="K25" i="4" s="1"/>
  <c r="K34" i="4" a="1"/>
  <c r="K34" i="4" s="1"/>
  <c r="K22" i="4" a="1"/>
  <c r="K22" i="4" s="1"/>
  <c r="K33" i="4" a="1"/>
  <c r="K33" i="4" s="1"/>
  <c r="K21" i="4" a="1"/>
  <c r="K21" i="4" s="1"/>
  <c r="K42" i="4" a="1"/>
  <c r="K42" i="4" s="1"/>
  <c r="K30" i="4" a="1"/>
  <c r="K30" i="4" s="1"/>
  <c r="K18" i="4" a="1"/>
  <c r="K18" i="4" s="1"/>
  <c r="K41" i="4" a="1"/>
  <c r="K41" i="4" s="1"/>
  <c r="K29" i="4" a="1"/>
  <c r="K29" i="4" s="1"/>
  <c r="K17" i="4" a="1"/>
  <c r="K17" i="4" s="1"/>
  <c r="K40" i="4" a="1"/>
  <c r="K40" i="4" s="1"/>
  <c r="K28" i="4" a="1"/>
  <c r="K28" i="4" s="1"/>
  <c r="K16" i="4" a="1"/>
  <c r="K16" i="4" s="1"/>
  <c r="K39" i="4" a="1"/>
  <c r="K39" i="4" s="1"/>
  <c r="K27" i="4" a="1"/>
  <c r="K27" i="4" s="1"/>
  <c r="K15" i="4" a="1"/>
  <c r="K15" i="4" s="1"/>
  <c r="K38" i="4" a="1"/>
  <c r="K38" i="4" s="1"/>
  <c r="K26" i="4" a="1"/>
  <c r="K26" i="4" s="1"/>
  <c r="E13" i="5"/>
  <c r="E14" i="5" s="1"/>
  <c r="J14" i="4" a="1"/>
  <c r="J14" i="4" s="1"/>
  <c r="C15" i="4" a="1"/>
  <c r="C15" i="4" s="1"/>
  <c r="E21" i="5"/>
  <c r="Y11" i="4" s="1"/>
  <c r="G9" i="2"/>
  <c r="S5" i="2"/>
  <c r="W26" i="2" s="1"/>
  <c r="EO24" i="2"/>
  <c r="EU24" i="2"/>
  <c r="FA24" i="2"/>
  <c r="EP24" i="2"/>
  <c r="EV24" i="2"/>
  <c r="EQ24" i="2"/>
  <c r="EW24" i="2"/>
  <c r="ER24" i="2"/>
  <c r="EX24" i="2"/>
  <c r="ES24" i="2"/>
  <c r="EY24" i="2"/>
  <c r="ET24" i="2"/>
  <c r="EZ24" i="2"/>
  <c r="EC24" i="2"/>
  <c r="EI24" i="2"/>
  <c r="EG24" i="2"/>
  <c r="EH24" i="2"/>
  <c r="ED24" i="2"/>
  <c r="EJ24" i="2"/>
  <c r="EA24" i="2"/>
  <c r="EK24" i="2"/>
  <c r="EF24" i="2"/>
  <c r="EL24" i="2"/>
  <c r="EM24" i="2"/>
  <c r="EB24" i="2"/>
  <c r="EE24" i="2"/>
  <c r="DM24" i="2"/>
  <c r="DS24" i="2"/>
  <c r="DY24" i="2"/>
  <c r="DN24" i="2"/>
  <c r="DT24" i="2"/>
  <c r="DO24" i="2"/>
  <c r="DU24" i="2"/>
  <c r="DP24" i="2"/>
  <c r="DV24" i="2"/>
  <c r="DQ24" i="2"/>
  <c r="DW24" i="2"/>
  <c r="DR24" i="2"/>
  <c r="DX24" i="2"/>
  <c r="DE24" i="2"/>
  <c r="DK24" i="2"/>
  <c r="CZ24" i="2"/>
  <c r="DF24" i="2"/>
  <c r="DA24" i="2"/>
  <c r="DG24" i="2"/>
  <c r="DB24" i="2"/>
  <c r="DH24" i="2"/>
  <c r="DC24" i="2"/>
  <c r="DI24" i="2"/>
  <c r="DD24" i="2"/>
  <c r="DJ24" i="2"/>
  <c r="CY24" i="2"/>
  <c r="CQ24" i="2"/>
  <c r="CL24" i="2"/>
  <c r="CR24" i="2"/>
  <c r="CM24" i="2"/>
  <c r="CS24" i="2"/>
  <c r="CK24" i="2"/>
  <c r="CN24" i="2"/>
  <c r="CT24" i="2"/>
  <c r="CW24" i="2"/>
  <c r="CO24" i="2"/>
  <c r="CU24" i="2"/>
  <c r="CV24" i="2"/>
  <c r="CP24" i="2"/>
  <c r="BW24" i="2"/>
  <c r="CC24" i="2"/>
  <c r="BX24" i="2"/>
  <c r="BY24" i="2"/>
  <c r="BZ24" i="2"/>
  <c r="CF24" i="2"/>
  <c r="CE24" i="2"/>
  <c r="CG24" i="2"/>
  <c r="CD24" i="2"/>
  <c r="CH24" i="2"/>
  <c r="CI24" i="2"/>
  <c r="CA24" i="2"/>
  <c r="CB24" i="2"/>
  <c r="BI24" i="2"/>
  <c r="BO24" i="2"/>
  <c r="BU24" i="2"/>
  <c r="BQ24" i="2"/>
  <c r="BK24" i="2"/>
  <c r="BJ24" i="2"/>
  <c r="BR24" i="2"/>
  <c r="BL24" i="2"/>
  <c r="BM24" i="2"/>
  <c r="BS24" i="2"/>
  <c r="BT24" i="2"/>
  <c r="BP24" i="2"/>
  <c r="BN24" i="2"/>
  <c r="AV24" i="2"/>
  <c r="BB24" i="2"/>
  <c r="AU24" i="2"/>
  <c r="AW24" i="2"/>
  <c r="BC24" i="2"/>
  <c r="BD24" i="2"/>
  <c r="AX24" i="2"/>
  <c r="BA24" i="2"/>
  <c r="AY24" i="2"/>
  <c r="BE24" i="2"/>
  <c r="BG24" i="2"/>
  <c r="BF24" i="2"/>
  <c r="AZ24" i="2"/>
  <c r="AS24" i="2"/>
  <c r="AN24" i="2"/>
  <c r="AI24" i="2"/>
  <c r="AH24" i="2"/>
  <c r="AO24" i="2"/>
  <c r="AP24" i="2"/>
  <c r="AJ24" i="2"/>
  <c r="AG24" i="2"/>
  <c r="AM24" i="2"/>
  <c r="AK24" i="2"/>
  <c r="AL24" i="2"/>
  <c r="AQ24" i="2"/>
  <c r="AR24" i="2"/>
  <c r="S24" i="2"/>
  <c r="U24" i="2"/>
  <c r="AA24" i="2"/>
  <c r="AB24" i="2"/>
  <c r="Y24" i="2"/>
  <c r="V24" i="2"/>
  <c r="Z24" i="2"/>
  <c r="W24" i="2"/>
  <c r="AC24" i="2"/>
  <c r="T24" i="2"/>
  <c r="X24" i="2"/>
  <c r="AD24" i="2"/>
  <c r="AE24" i="2"/>
  <c r="S26" i="2"/>
  <c r="AA43" i="2"/>
  <c r="Z43" i="2"/>
  <c r="T26" i="2"/>
  <c r="J43" i="2"/>
  <c r="I43" i="2"/>
  <c r="K43" i="2"/>
  <c r="M43" i="2"/>
  <c r="O43" i="2"/>
  <c r="E43" i="2"/>
  <c r="F43" i="2"/>
  <c r="H43" i="2"/>
  <c r="L43" i="2"/>
  <c r="N43" i="2"/>
  <c r="P43" i="2"/>
  <c r="Q43" i="2"/>
  <c r="G43" i="2"/>
  <c r="H26" i="2"/>
  <c r="L9" i="2"/>
  <c r="I26" i="2"/>
  <c r="M9" i="2"/>
  <c r="F9" i="2"/>
  <c r="P9" i="2"/>
  <c r="Q9" i="2"/>
  <c r="N26" i="2"/>
  <c r="O26" i="2"/>
  <c r="P26" i="2"/>
  <c r="H9" i="2"/>
  <c r="E26" i="2"/>
  <c r="Q26" i="2"/>
  <c r="K9" i="2"/>
  <c r="J26" i="2"/>
  <c r="N9" i="2"/>
  <c r="K26" i="2"/>
  <c r="O9" i="2"/>
  <c r="L26" i="2"/>
  <c r="M26" i="2"/>
  <c r="E9" i="2"/>
  <c r="I9" i="2"/>
  <c r="F26" i="2"/>
  <c r="J9" i="2"/>
  <c r="Q24" i="2"/>
  <c r="J24" i="2"/>
  <c r="P24" i="2"/>
  <c r="O24" i="2"/>
  <c r="I24" i="2"/>
  <c r="N24" i="2"/>
  <c r="H24" i="2"/>
  <c r="G24" i="2"/>
  <c r="K24" i="2"/>
  <c r="M24" i="2"/>
  <c r="L24" i="2"/>
  <c r="F24" i="2"/>
  <c r="E24" i="2"/>
  <c r="P22" i="4"/>
  <c r="P15" i="4"/>
  <c r="P14" i="4"/>
  <c r="P35" i="4"/>
  <c r="P24" i="4"/>
  <c r="P28" i="4"/>
  <c r="P21" i="4"/>
  <c r="P25" i="4"/>
  <c r="P23" i="4"/>
  <c r="P36" i="4"/>
  <c r="P17" i="4"/>
  <c r="P33" i="4"/>
  <c r="P27" i="4"/>
  <c r="P34" i="4"/>
  <c r="P38" i="4"/>
  <c r="P26" i="4"/>
  <c r="P29" i="4"/>
  <c r="P37" i="4"/>
  <c r="P41" i="4"/>
  <c r="P40" i="4"/>
  <c r="P16" i="4"/>
  <c r="P39" i="4"/>
  <c r="X9" i="2" l="1"/>
  <c r="AB26" i="2"/>
  <c r="T9" i="2"/>
  <c r="X26" i="2"/>
  <c r="AC9" i="2"/>
  <c r="Z9" i="2"/>
  <c r="AD26" i="2"/>
  <c r="X43" i="2"/>
  <c r="W43" i="2"/>
  <c r="Y9" i="2"/>
  <c r="V43" i="2"/>
  <c r="AA26" i="2"/>
  <c r="AC26" i="2"/>
  <c r="Z26" i="2"/>
  <c r="AD43" i="2"/>
  <c r="AE9" i="2"/>
  <c r="AB9" i="2"/>
  <c r="S9" i="2"/>
  <c r="AC43" i="2"/>
  <c r="U43" i="2"/>
  <c r="AB43" i="2"/>
  <c r="AD9" i="2"/>
  <c r="U26" i="2"/>
  <c r="L34" i="4" a="1"/>
  <c r="L34" i="4" s="1"/>
  <c r="T43" i="2"/>
  <c r="V26" i="2"/>
  <c r="L39" i="4" a="1"/>
  <c r="L39" i="4" s="1"/>
  <c r="L22" i="4" a="1"/>
  <c r="L22" i="4" s="1"/>
  <c r="L15" i="4" a="1"/>
  <c r="L15" i="4" s="1"/>
  <c r="L35" i="4" a="1"/>
  <c r="L35" i="4" s="1"/>
  <c r="L27" i="4" a="1"/>
  <c r="L27" i="4" s="1"/>
  <c r="L36" i="4" a="1"/>
  <c r="L36" i="4" s="1"/>
  <c r="L40" i="4" a="1"/>
  <c r="L40" i="4" s="1"/>
  <c r="L24" i="4" a="1"/>
  <c r="L24" i="4" s="1"/>
  <c r="K91" i="5" a="1"/>
  <c r="K91" i="5" s="1"/>
  <c r="M91" i="5" s="1"/>
  <c r="L16" i="4" a="1"/>
  <c r="L16" i="4" s="1"/>
  <c r="L25" i="4" a="1"/>
  <c r="L25" i="4" s="1"/>
  <c r="L28" i="4" a="1"/>
  <c r="L28" i="4" s="1"/>
  <c r="L37" i="4" a="1"/>
  <c r="L37" i="4" s="1"/>
  <c r="L41" i="4" a="1"/>
  <c r="L41" i="4" s="1"/>
  <c r="L38" i="4" a="1"/>
  <c r="L38" i="4" s="1"/>
  <c r="L17" i="4" a="1"/>
  <c r="L17" i="4" s="1"/>
  <c r="L23" i="4" a="1"/>
  <c r="L23" i="4" s="1"/>
  <c r="L29" i="4" a="1"/>
  <c r="L29" i="4" s="1"/>
  <c r="L33" i="4" a="1"/>
  <c r="L33" i="4" s="1"/>
  <c r="AE26" i="2"/>
  <c r="AE43" i="2"/>
  <c r="AA9" i="2"/>
  <c r="Y43" i="2"/>
  <c r="S43" i="2"/>
  <c r="W9" i="2"/>
  <c r="L14" i="4" a="1"/>
  <c r="L14" i="4" s="1"/>
  <c r="L21" i="4" a="1"/>
  <c r="L21" i="4" s="1"/>
  <c r="L26" i="4" a="1"/>
  <c r="L26" i="4" s="1"/>
  <c r="E24" i="5"/>
  <c r="K75" i="5" a="1"/>
  <c r="K75" i="5" s="1"/>
  <c r="P75" i="5" s="1"/>
  <c r="G79" i="5"/>
  <c r="K63" i="5" a="1"/>
  <c r="K63" i="5" s="1"/>
  <c r="L63" i="5" s="1"/>
  <c r="F93" i="5"/>
  <c r="G93" i="5" s="1"/>
  <c r="K59" i="5" a="1"/>
  <c r="K59" i="5" s="1"/>
  <c r="K67" i="5" a="1"/>
  <c r="K67" i="5" s="1"/>
  <c r="F92" i="5"/>
  <c r="J92" i="5" s="1" a="1"/>
  <c r="J92" i="5" s="1"/>
  <c r="J67" i="5" a="1"/>
  <c r="J67" i="5" s="1"/>
  <c r="P67" i="5" s="1"/>
  <c r="K79" i="5" a="1"/>
  <c r="K79" i="5" s="1"/>
  <c r="J59" i="5" a="1"/>
  <c r="J59" i="5" s="1"/>
  <c r="P59" i="5" s="1"/>
  <c r="F61" i="5"/>
  <c r="J61" i="5" s="1" a="1"/>
  <c r="J61" i="5" s="1"/>
  <c r="F64" i="5"/>
  <c r="G64" i="5" s="1"/>
  <c r="F80" i="5"/>
  <c r="J80" i="5" s="1" a="1"/>
  <c r="J80" i="5" s="1"/>
  <c r="F81" i="5"/>
  <c r="G81" i="5" s="1"/>
  <c r="F68" i="5"/>
  <c r="J68" i="5" s="1" a="1"/>
  <c r="J68" i="5" s="1"/>
  <c r="G63" i="5"/>
  <c r="G96" i="5"/>
  <c r="F60" i="5"/>
  <c r="J64" i="5" a="1"/>
  <c r="J64" i="5" s="1"/>
  <c r="J81" i="5" a="1"/>
  <c r="J81" i="5" s="1"/>
  <c r="F69" i="5"/>
  <c r="F95" i="5"/>
  <c r="K95" i="5" s="1" a="1"/>
  <c r="K95" i="5" s="1"/>
  <c r="F97" i="5"/>
  <c r="F83" i="5"/>
  <c r="K83" i="5" s="1" a="1"/>
  <c r="K83" i="5" s="1"/>
  <c r="F84" i="5"/>
  <c r="F85" i="5"/>
  <c r="G76" i="5"/>
  <c r="J93" i="5" a="1"/>
  <c r="J93" i="5" s="1"/>
  <c r="F71" i="5"/>
  <c r="F72" i="5"/>
  <c r="F73" i="5"/>
  <c r="F65" i="5"/>
  <c r="F99" i="5"/>
  <c r="K99" i="5" s="1" a="1"/>
  <c r="K99" i="5" s="1"/>
  <c r="F100" i="5"/>
  <c r="F101" i="5"/>
  <c r="F89" i="5"/>
  <c r="F87" i="5"/>
  <c r="F88" i="5"/>
  <c r="F56" i="5"/>
  <c r="F57" i="5"/>
  <c r="F55" i="5"/>
  <c r="K55" i="5" s="1" a="1"/>
  <c r="K55" i="5" s="1"/>
  <c r="L18" i="4" a="1"/>
  <c r="L18" i="4" s="1"/>
  <c r="V9" i="2"/>
  <c r="Y26" i="2"/>
  <c r="C16" i="4" a="1"/>
  <c r="C16" i="4" s="1"/>
  <c r="J15" i="4" a="1"/>
  <c r="J15" i="4" s="1"/>
  <c r="AF11" i="4"/>
  <c r="U9" i="2"/>
  <c r="AG5" i="2"/>
  <c r="R25" i="4"/>
  <c r="R39" i="4"/>
  <c r="R17" i="4"/>
  <c r="R26" i="4"/>
  <c r="R29" i="4"/>
  <c r="R23" i="4"/>
  <c r="R35" i="4"/>
  <c r="R37" i="4"/>
  <c r="R28" i="4"/>
  <c r="R22" i="4"/>
  <c r="R14" i="4"/>
  <c r="R41" i="4"/>
  <c r="R33" i="4"/>
  <c r="R40" i="4"/>
  <c r="R21" i="4"/>
  <c r="R34" i="4"/>
  <c r="R27" i="4"/>
  <c r="R24" i="4"/>
  <c r="R15" i="4"/>
  <c r="R16" i="4"/>
  <c r="R38" i="4"/>
  <c r="R36" i="4"/>
  <c r="L91" i="5" l="1"/>
  <c r="M75" i="5"/>
  <c r="P91" i="5"/>
  <c r="S28" i="4"/>
  <c r="S25" i="4"/>
  <c r="S16" i="4"/>
  <c r="S24" i="4"/>
  <c r="S34" i="4"/>
  <c r="S33" i="4"/>
  <c r="S40" i="4"/>
  <c r="S29" i="4"/>
  <c r="S36" i="4"/>
  <c r="S23" i="4"/>
  <c r="S27" i="4"/>
  <c r="S26" i="4"/>
  <c r="S17" i="4"/>
  <c r="S35" i="4"/>
  <c r="S21" i="4"/>
  <c r="S38" i="4"/>
  <c r="S15" i="4"/>
  <c r="S14" i="4"/>
  <c r="S41" i="4"/>
  <c r="S22" i="4"/>
  <c r="S37" i="4"/>
  <c r="S39" i="4"/>
  <c r="P79" i="5"/>
  <c r="L75" i="5"/>
  <c r="M63" i="5"/>
  <c r="P63" i="5"/>
  <c r="L79" i="5"/>
  <c r="O79" i="5" s="1"/>
  <c r="G68" i="5"/>
  <c r="G92" i="5"/>
  <c r="G80" i="5"/>
  <c r="G61" i="5"/>
  <c r="M79" i="5"/>
  <c r="M67" i="5"/>
  <c r="L67" i="5"/>
  <c r="N67" i="5" s="1"/>
  <c r="M59" i="5"/>
  <c r="L59" i="5"/>
  <c r="Q59" i="5" s="1"/>
  <c r="G60" i="5"/>
  <c r="J60" i="5" a="1"/>
  <c r="J60" i="5" s="1"/>
  <c r="J101" i="5" a="1"/>
  <c r="J101" i="5" s="1"/>
  <c r="G101" i="5"/>
  <c r="J100" i="5" a="1"/>
  <c r="J100" i="5" s="1"/>
  <c r="G100" i="5"/>
  <c r="G99" i="5"/>
  <c r="J99" i="5" a="1"/>
  <c r="J99" i="5" s="1"/>
  <c r="L99" i="5" s="1"/>
  <c r="G65" i="5"/>
  <c r="J65" i="5" a="1"/>
  <c r="J65" i="5" s="1"/>
  <c r="G85" i="5"/>
  <c r="J85" i="5" a="1"/>
  <c r="J85" i="5" s="1"/>
  <c r="J84" i="5" a="1"/>
  <c r="J84" i="5" s="1"/>
  <c r="G84" i="5"/>
  <c r="G57" i="5"/>
  <c r="J57" i="5" a="1"/>
  <c r="J57" i="5" s="1"/>
  <c r="G56" i="5"/>
  <c r="J56" i="5" a="1"/>
  <c r="J56" i="5" s="1"/>
  <c r="J73" i="5" a="1"/>
  <c r="J73" i="5" s="1"/>
  <c r="G73" i="5"/>
  <c r="J83" i="5" a="1"/>
  <c r="J83" i="5" s="1"/>
  <c r="L83" i="5" s="1"/>
  <c r="G83" i="5"/>
  <c r="J87" i="5" a="1"/>
  <c r="J87" i="5" s="1"/>
  <c r="G87" i="5"/>
  <c r="J72" i="5" a="1"/>
  <c r="J72" i="5" s="1"/>
  <c r="G72" i="5"/>
  <c r="J97" i="5" a="1"/>
  <c r="J97" i="5" s="1"/>
  <c r="G97" i="5"/>
  <c r="J89" i="5" a="1"/>
  <c r="J89" i="5" s="1"/>
  <c r="G89" i="5"/>
  <c r="J55" i="5" a="1"/>
  <c r="J55" i="5" s="1"/>
  <c r="L55" i="5" s="1"/>
  <c r="G55" i="5"/>
  <c r="J71" i="5" a="1"/>
  <c r="J71" i="5" s="1"/>
  <c r="G71" i="5"/>
  <c r="J95" i="5" a="1"/>
  <c r="J95" i="5" s="1"/>
  <c r="L95" i="5" s="1"/>
  <c r="O95" i="5" s="1"/>
  <c r="G95" i="5"/>
  <c r="G88" i="5"/>
  <c r="J88" i="5" a="1"/>
  <c r="J88" i="5" s="1"/>
  <c r="K71" i="5" a="1"/>
  <c r="K71" i="5" s="1"/>
  <c r="K87" i="5" a="1"/>
  <c r="K87" i="5" s="1"/>
  <c r="J69" i="5" a="1"/>
  <c r="J69" i="5" s="1"/>
  <c r="G69" i="5"/>
  <c r="Q79" i="5"/>
  <c r="R79" i="5"/>
  <c r="Q75" i="5"/>
  <c r="R75" i="5"/>
  <c r="Q67" i="5"/>
  <c r="Q91" i="5"/>
  <c r="R91" i="5"/>
  <c r="Q63" i="5"/>
  <c r="R63" i="5"/>
  <c r="N75" i="5"/>
  <c r="O75" i="5"/>
  <c r="N79" i="5"/>
  <c r="N91" i="5"/>
  <c r="O91" i="5"/>
  <c r="O63" i="5"/>
  <c r="N63" i="5"/>
  <c r="C17" i="4" a="1"/>
  <c r="C17" i="4" s="1"/>
  <c r="J16" i="4" a="1"/>
  <c r="J16" i="4" s="1"/>
  <c r="AK43" i="2"/>
  <c r="AG26" i="2"/>
  <c r="AN43" i="2"/>
  <c r="AL43" i="2"/>
  <c r="AS9" i="2"/>
  <c r="AH43" i="2"/>
  <c r="AR9" i="2"/>
  <c r="AU5" i="2"/>
  <c r="AM9" i="2"/>
  <c r="AL9" i="2"/>
  <c r="AS26" i="2"/>
  <c r="AK9" i="2"/>
  <c r="AH9" i="2"/>
  <c r="AQ26" i="2"/>
  <c r="AJ9" i="2"/>
  <c r="AN26" i="2"/>
  <c r="AM26" i="2"/>
  <c r="AG9" i="2"/>
  <c r="AH26" i="2"/>
  <c r="AJ26" i="2"/>
  <c r="AI9" i="2"/>
  <c r="AQ43" i="2"/>
  <c r="AP26" i="2"/>
  <c r="AJ43" i="2"/>
  <c r="AK26" i="2"/>
  <c r="AR43" i="2"/>
  <c r="AP9" i="2"/>
  <c r="AR26" i="2"/>
  <c r="AQ9" i="2"/>
  <c r="AM43" i="2"/>
  <c r="AL26" i="2"/>
  <c r="AO43" i="2"/>
  <c r="AG43" i="2"/>
  <c r="AN9" i="2"/>
  <c r="AS43" i="2"/>
  <c r="AI26" i="2"/>
  <c r="AI43" i="2"/>
  <c r="AP43" i="2"/>
  <c r="AO26" i="2"/>
  <c r="AO9" i="2"/>
  <c r="U26" i="4"/>
  <c r="U23" i="4"/>
  <c r="U33" i="4"/>
  <c r="U35" i="4"/>
  <c r="U14" i="4"/>
  <c r="U15" i="4"/>
  <c r="U28" i="4"/>
  <c r="U22" i="4"/>
  <c r="U40" i="4"/>
  <c r="U27" i="4"/>
  <c r="U16" i="4"/>
  <c r="U24" i="4"/>
  <c r="U21" i="4"/>
  <c r="U29" i="4"/>
  <c r="U38" i="4"/>
  <c r="U17" i="4"/>
  <c r="U39" i="4"/>
  <c r="U41" i="4"/>
  <c r="U25" i="4"/>
  <c r="U34" i="4"/>
  <c r="U36" i="4"/>
  <c r="U37" i="4"/>
  <c r="R67" i="5" l="1"/>
  <c r="O67" i="5"/>
  <c r="R59" i="5"/>
  <c r="O59" i="5"/>
  <c r="N59" i="5"/>
  <c r="O83" i="5"/>
  <c r="P83" i="5"/>
  <c r="N83" i="5"/>
  <c r="P95" i="5"/>
  <c r="R83" i="5"/>
  <c r="Q83" i="5"/>
  <c r="Q55" i="5"/>
  <c r="N55" i="5"/>
  <c r="R55" i="5"/>
  <c r="O55" i="5"/>
  <c r="Q99" i="5"/>
  <c r="R99" i="5"/>
  <c r="N99" i="5"/>
  <c r="O99" i="5"/>
  <c r="M55" i="5"/>
  <c r="N95" i="5"/>
  <c r="P87" i="5"/>
  <c r="L87" i="5"/>
  <c r="M99" i="5"/>
  <c r="P99" i="5"/>
  <c r="L71" i="5"/>
  <c r="N71" i="5" s="1"/>
  <c r="R95" i="5"/>
  <c r="Q95" i="5"/>
  <c r="M95" i="5"/>
  <c r="P71" i="5"/>
  <c r="M71" i="5"/>
  <c r="M83" i="5"/>
  <c r="P55" i="5"/>
  <c r="M87" i="5"/>
  <c r="C18" i="4" a="1"/>
  <c r="C18" i="4" s="1"/>
  <c r="J17" i="4" a="1"/>
  <c r="J17" i="4" s="1"/>
  <c r="AY43" i="2"/>
  <c r="BA43" i="2"/>
  <c r="AZ43" i="2"/>
  <c r="AY9" i="2"/>
  <c r="BF26" i="2"/>
  <c r="BE26" i="2"/>
  <c r="BI5" i="2"/>
  <c r="AX9" i="2"/>
  <c r="AV26" i="2"/>
  <c r="AU43" i="2"/>
  <c r="AW9" i="2"/>
  <c r="BB9" i="2"/>
  <c r="BG43" i="2"/>
  <c r="BD26" i="2"/>
  <c r="BA9" i="2"/>
  <c r="AW26" i="2"/>
  <c r="BF9" i="2"/>
  <c r="BD43" i="2"/>
  <c r="BA26" i="2"/>
  <c r="BC9" i="2"/>
  <c r="AV43" i="2"/>
  <c r="AX26" i="2"/>
  <c r="BB26" i="2"/>
  <c r="AU26" i="2"/>
  <c r="BE43" i="2"/>
  <c r="AW43" i="2"/>
  <c r="BG26" i="2"/>
  <c r="AY26" i="2"/>
  <c r="AU9" i="2"/>
  <c r="BB43" i="2"/>
  <c r="BF43" i="2"/>
  <c r="BG9" i="2"/>
  <c r="AX43" i="2"/>
  <c r="BC43" i="2"/>
  <c r="BD9" i="2"/>
  <c r="AV9" i="2"/>
  <c r="AZ26" i="2"/>
  <c r="AZ9" i="2"/>
  <c r="BE9" i="2"/>
  <c r="BC26" i="2"/>
  <c r="W28" i="4"/>
  <c r="W24" i="4"/>
  <c r="W29" i="4"/>
  <c r="W25" i="4"/>
  <c r="W26" i="4"/>
  <c r="W36" i="4"/>
  <c r="W16" i="4"/>
  <c r="W33" i="4"/>
  <c r="W39" i="4"/>
  <c r="W38" i="4"/>
  <c r="W15" i="4"/>
  <c r="W41" i="4"/>
  <c r="W37" i="4"/>
  <c r="W27" i="4"/>
  <c r="W40" i="4"/>
  <c r="W17" i="4"/>
  <c r="W35" i="4"/>
  <c r="W34" i="4"/>
  <c r="W22" i="4"/>
  <c r="W23" i="4"/>
  <c r="W14" i="4"/>
  <c r="W21" i="4"/>
  <c r="X36" i="4" l="1"/>
  <c r="X24" i="4"/>
  <c r="X25" i="4"/>
  <c r="X17" i="4"/>
  <c r="X29" i="4"/>
  <c r="X14" i="4"/>
  <c r="Z26" i="4" s="1"/>
  <c r="X23" i="4"/>
  <c r="X34" i="4"/>
  <c r="X33" i="4"/>
  <c r="X35" i="4"/>
  <c r="X41" i="4"/>
  <c r="X15" i="4"/>
  <c r="AA29" i="4" s="1"/>
  <c r="X26" i="4"/>
  <c r="X28" i="4"/>
  <c r="X22" i="4"/>
  <c r="X21" i="4"/>
  <c r="X38" i="4"/>
  <c r="X40" i="4"/>
  <c r="X27" i="4"/>
  <c r="X39" i="4"/>
  <c r="X16" i="4"/>
  <c r="X37" i="4"/>
  <c r="N41" i="5" a="1"/>
  <c r="N41" i="5" s="1"/>
  <c r="AA14" i="4"/>
  <c r="O71" i="5"/>
  <c r="Q71" i="5"/>
  <c r="Q87" i="5"/>
  <c r="O87" i="5"/>
  <c r="N87" i="5"/>
  <c r="R87" i="5"/>
  <c r="R71" i="5"/>
  <c r="N36" i="5" a="1"/>
  <c r="N36" i="5" s="1"/>
  <c r="M36" i="5" s="1" a="1"/>
  <c r="M36" i="5" s="1"/>
  <c r="N37" i="5" a="1"/>
  <c r="N37" i="5" s="1"/>
  <c r="M37" i="5" s="1" a="1"/>
  <c r="M37" i="5" s="1"/>
  <c r="N38" i="5" a="1"/>
  <c r="N38" i="5" s="1"/>
  <c r="M38" i="5" s="1" a="1"/>
  <c r="M38" i="5" s="1"/>
  <c r="J36" i="5" a="1"/>
  <c r="J36" i="5" s="1"/>
  <c r="I36" i="5" s="1" a="1"/>
  <c r="I36" i="5" s="1"/>
  <c r="AI21" i="4"/>
  <c r="AJ21" i="4"/>
  <c r="Y24" i="4"/>
  <c r="Y14" i="4"/>
  <c r="Z36" i="4"/>
  <c r="Z30" i="4"/>
  <c r="Z41" i="4"/>
  <c r="Y26" i="4"/>
  <c r="Y35" i="4"/>
  <c r="Y41" i="4"/>
  <c r="Z37" i="4"/>
  <c r="Z18" i="4"/>
  <c r="Z14" i="4"/>
  <c r="Z17" i="4"/>
  <c r="AA24" i="4"/>
  <c r="AA40" i="4"/>
  <c r="Y33" i="4"/>
  <c r="Y28" i="4"/>
  <c r="AA35" i="4"/>
  <c r="Y21" i="4"/>
  <c r="Y36" i="4"/>
  <c r="Y39" i="4"/>
  <c r="Z22" i="4"/>
  <c r="Z16" i="4"/>
  <c r="Z39" i="4"/>
  <c r="AA34" i="4"/>
  <c r="AA27" i="4"/>
  <c r="Y20" i="4"/>
  <c r="Y15" i="4"/>
  <c r="Z21" i="4"/>
  <c r="Z27" i="4"/>
  <c r="Z15" i="4"/>
  <c r="AA33" i="4"/>
  <c r="C19" i="4" a="1"/>
  <c r="C19" i="4" s="1"/>
  <c r="J18" i="4" a="1"/>
  <c r="J18" i="4" s="1"/>
  <c r="BM43" i="2"/>
  <c r="BP43" i="2"/>
  <c r="BU9" i="2"/>
  <c r="BI9" i="2"/>
  <c r="BO43" i="2"/>
  <c r="BT9" i="2"/>
  <c r="BP9" i="2"/>
  <c r="BO9" i="2"/>
  <c r="BU26" i="2"/>
  <c r="BN9" i="2"/>
  <c r="BT26" i="2"/>
  <c r="BM9" i="2"/>
  <c r="BS26" i="2"/>
  <c r="BL9" i="2"/>
  <c r="BP26" i="2"/>
  <c r="BJ9" i="2"/>
  <c r="BJ26" i="2"/>
  <c r="BW5" i="2"/>
  <c r="BI26" i="2"/>
  <c r="BS43" i="2"/>
  <c r="BL43" i="2"/>
  <c r="BR9" i="2"/>
  <c r="BK9" i="2"/>
  <c r="BL26" i="2"/>
  <c r="BM26" i="2"/>
  <c r="BR26" i="2"/>
  <c r="BQ26" i="2"/>
  <c r="BT43" i="2"/>
  <c r="BS9" i="2"/>
  <c r="BN26" i="2"/>
  <c r="BN43" i="2"/>
  <c r="BI43" i="2"/>
  <c r="BQ43" i="2"/>
  <c r="BU43" i="2"/>
  <c r="BR43" i="2"/>
  <c r="BO26" i="2"/>
  <c r="BK26" i="2"/>
  <c r="BJ43" i="2"/>
  <c r="BQ9" i="2"/>
  <c r="BK43" i="2"/>
  <c r="Z23" i="4" l="1"/>
  <c r="N35" i="5" a="1"/>
  <c r="N35" i="5" s="1"/>
  <c r="M35" i="5" s="1" a="1"/>
  <c r="M35" i="5" s="1"/>
  <c r="AA16" i="4"/>
  <c r="Z35" i="4"/>
  <c r="AA26" i="4"/>
  <c r="AA22" i="4"/>
  <c r="AA25" i="4"/>
  <c r="Z28" i="4"/>
  <c r="Y22" i="4"/>
  <c r="Y30" i="4"/>
  <c r="Y38" i="4"/>
  <c r="AA17" i="4"/>
  <c r="AB17" i="4" s="1"/>
  <c r="Y25" i="4"/>
  <c r="F37" i="5" a="1"/>
  <c r="F37" i="5" s="1"/>
  <c r="Z33" i="4"/>
  <c r="Y32" i="4"/>
  <c r="Y16" i="4"/>
  <c r="Y17" i="4"/>
  <c r="AA18" i="4"/>
  <c r="F36" i="5" a="1"/>
  <c r="F36" i="5" s="1"/>
  <c r="Y40" i="4"/>
  <c r="Z34" i="4"/>
  <c r="AB34" i="4" s="1"/>
  <c r="Y37" i="4"/>
  <c r="Y34" i="4"/>
  <c r="AA38" i="4"/>
  <c r="F35" i="5" a="1"/>
  <c r="F35" i="5" s="1"/>
  <c r="Z25" i="4"/>
  <c r="Y27" i="4"/>
  <c r="Y42" i="4"/>
  <c r="AA39" i="4"/>
  <c r="AA28" i="4"/>
  <c r="AA15" i="4"/>
  <c r="AA23" i="4"/>
  <c r="AA37" i="4"/>
  <c r="AC37" i="4" s="1"/>
  <c r="AA41" i="4"/>
  <c r="AC41" i="4" s="1"/>
  <c r="F41" i="5" a="1"/>
  <c r="F41" i="5" s="1"/>
  <c r="E27" i="5" s="1"/>
  <c r="F38" i="5" a="1"/>
  <c r="F38" i="5" s="1"/>
  <c r="AA36" i="4"/>
  <c r="AA21" i="4"/>
  <c r="Z40" i="4"/>
  <c r="Z29" i="4"/>
  <c r="AD29" i="4" s="1"/>
  <c r="Z38" i="4"/>
  <c r="Y18" i="4"/>
  <c r="J39" i="5" a="1"/>
  <c r="J39" i="5" s="1"/>
  <c r="I39" i="5" s="1" a="1"/>
  <c r="I39" i="5" s="1"/>
  <c r="AI34" i="4" s="1"/>
  <c r="Z24" i="4"/>
  <c r="AB24" i="4" s="1"/>
  <c r="Z42" i="4"/>
  <c r="Y23" i="4"/>
  <c r="J38" i="5" a="1"/>
  <c r="J38" i="5" s="1"/>
  <c r="I38" i="5" s="1" a="1"/>
  <c r="I38" i="5" s="1"/>
  <c r="AI33" i="4" s="1"/>
  <c r="Y29" i="4"/>
  <c r="J37" i="5" a="1"/>
  <c r="J37" i="5" s="1"/>
  <c r="I37" i="5" s="1" a="1"/>
  <c r="I37" i="5" s="1"/>
  <c r="AI32" i="4" s="1"/>
  <c r="J35" i="5" a="1"/>
  <c r="J35" i="5" s="1"/>
  <c r="I35" i="5" s="1" a="1"/>
  <c r="I35" i="5" s="1"/>
  <c r="J41" i="5" a="1"/>
  <c r="J41" i="5" s="1"/>
  <c r="AJ36" i="4" s="1"/>
  <c r="N39" i="5" a="1"/>
  <c r="N39" i="5" s="1"/>
  <c r="M39" i="5" s="1" a="1"/>
  <c r="M39" i="5" s="1"/>
  <c r="AP34" i="4" s="1"/>
  <c r="AB14" i="4"/>
  <c r="AQ30" i="4"/>
  <c r="AP30" i="4"/>
  <c r="AQ33" i="4"/>
  <c r="AP33" i="4"/>
  <c r="AQ31" i="4"/>
  <c r="AP31" i="4"/>
  <c r="AP32" i="4"/>
  <c r="AQ32" i="4"/>
  <c r="AQ36" i="4"/>
  <c r="AI30" i="4"/>
  <c r="AI31" i="4"/>
  <c r="AJ31" i="4"/>
  <c r="AJ32" i="4"/>
  <c r="AJ18" i="4"/>
  <c r="E36" i="5" a="1"/>
  <c r="E36" i="5" s="1"/>
  <c r="AI18" i="4" s="1"/>
  <c r="AJ20" i="4"/>
  <c r="E38" i="5" a="1"/>
  <c r="E38" i="5" s="1"/>
  <c r="AI20" i="4" s="1"/>
  <c r="AJ19" i="4"/>
  <c r="E37" i="5" a="1"/>
  <c r="E37" i="5" s="1"/>
  <c r="AI19" i="4" s="1"/>
  <c r="AJ17" i="4"/>
  <c r="E35" i="5" a="1"/>
  <c r="E35" i="5" s="1"/>
  <c r="AI17" i="4" s="1"/>
  <c r="AC25" i="4"/>
  <c r="AC39" i="4"/>
  <c r="AD33" i="4"/>
  <c r="AC16" i="4"/>
  <c r="AD41" i="4"/>
  <c r="AC35" i="4"/>
  <c r="AD28" i="4"/>
  <c r="AD25" i="4"/>
  <c r="AB21" i="4"/>
  <c r="AC18" i="4"/>
  <c r="AB33" i="4"/>
  <c r="AC26" i="4"/>
  <c r="AB25" i="4"/>
  <c r="AC14" i="4"/>
  <c r="AB36" i="4"/>
  <c r="AC28" i="4"/>
  <c r="AD14" i="4"/>
  <c r="AC34" i="4"/>
  <c r="AB26" i="4"/>
  <c r="AC27" i="4"/>
  <c r="AC21" i="4"/>
  <c r="AB41" i="4"/>
  <c r="AD18" i="4"/>
  <c r="AD34" i="4"/>
  <c r="AC38" i="4"/>
  <c r="AD26" i="4"/>
  <c r="AC40" i="4"/>
  <c r="AB22" i="4"/>
  <c r="AB23" i="4"/>
  <c r="AB16" i="4"/>
  <c r="AD23" i="4"/>
  <c r="AB38" i="4"/>
  <c r="AD38" i="4"/>
  <c r="AD27" i="4"/>
  <c r="AC36" i="4"/>
  <c r="AD40" i="4"/>
  <c r="AB40" i="4"/>
  <c r="AD36" i="4"/>
  <c r="AD16" i="4"/>
  <c r="AB35" i="4"/>
  <c r="AB18" i="4"/>
  <c r="AC29" i="4"/>
  <c r="AB37" i="4"/>
  <c r="AB39" i="4"/>
  <c r="AD15" i="4"/>
  <c r="AD39" i="4"/>
  <c r="AB29" i="4"/>
  <c r="AD22" i="4"/>
  <c r="AB28" i="4"/>
  <c r="AC23" i="4"/>
  <c r="AB15" i="4"/>
  <c r="AD35" i="4"/>
  <c r="AB27" i="4"/>
  <c r="AC33" i="4"/>
  <c r="AD21" i="4"/>
  <c r="AC15" i="4"/>
  <c r="AC22" i="4"/>
  <c r="C20" i="4" a="1"/>
  <c r="C20" i="4" s="1"/>
  <c r="J19" i="4" a="1"/>
  <c r="J19" i="4" s="1"/>
  <c r="CA43" i="2"/>
  <c r="CI9" i="2"/>
  <c r="CI26" i="2"/>
  <c r="CH9" i="2"/>
  <c r="CH26" i="2"/>
  <c r="CE9" i="2"/>
  <c r="CK5" i="2"/>
  <c r="CG26" i="2"/>
  <c r="CD9" i="2"/>
  <c r="CD26" i="2"/>
  <c r="CC9" i="2"/>
  <c r="CC26" i="2"/>
  <c r="CB9" i="2"/>
  <c r="CF43" i="2"/>
  <c r="BZ26" i="2"/>
  <c r="CA9" i="2"/>
  <c r="CD43" i="2"/>
  <c r="BY26" i="2"/>
  <c r="BZ9" i="2"/>
  <c r="CC43" i="2"/>
  <c r="BX26" i="2"/>
  <c r="BX9" i="2"/>
  <c r="CB43" i="2"/>
  <c r="BW26" i="2"/>
  <c r="BW9" i="2"/>
  <c r="BX43" i="2"/>
  <c r="BZ43" i="2"/>
  <c r="CE43" i="2"/>
  <c r="BY9" i="2"/>
  <c r="CG43" i="2"/>
  <c r="CF26" i="2"/>
  <c r="CE26" i="2"/>
  <c r="CF9" i="2"/>
  <c r="CA26" i="2"/>
  <c r="CH43" i="2"/>
  <c r="CG9" i="2"/>
  <c r="CB26" i="2"/>
  <c r="BW43" i="2"/>
  <c r="CI43" i="2"/>
  <c r="BY43" i="2"/>
  <c r="AJ23" i="4" l="1"/>
  <c r="F40" i="5"/>
  <c r="E40" i="5" s="1"/>
  <c r="AI22" i="4" s="1"/>
  <c r="AJ33" i="4"/>
  <c r="E25" i="5"/>
  <c r="E26" i="5" s="1"/>
  <c r="AC24" i="4"/>
  <c r="AD24" i="4"/>
  <c r="AJ34" i="4"/>
  <c r="AD17" i="4"/>
  <c r="AD37" i="4"/>
  <c r="AC17" i="4"/>
  <c r="J40" i="5"/>
  <c r="AJ35" i="4" s="1"/>
  <c r="N40" i="5"/>
  <c r="M40" i="5" s="1"/>
  <c r="AP35" i="4" s="1"/>
  <c r="AQ34" i="4"/>
  <c r="AJ30" i="4"/>
  <c r="AJ22" i="4"/>
  <c r="C21" i="4" a="1"/>
  <c r="C21" i="4" s="1"/>
  <c r="J20" i="4" a="1"/>
  <c r="J20" i="4" s="1"/>
  <c r="CO43" i="2"/>
  <c r="CY5" i="2"/>
  <c r="CP9" i="2"/>
  <c r="CN9" i="2"/>
  <c r="CL9" i="2"/>
  <c r="CP43" i="2"/>
  <c r="CU26" i="2"/>
  <c r="CQ9" i="2"/>
  <c r="CL26" i="2"/>
  <c r="CR9" i="2"/>
  <c r="CT43" i="2"/>
  <c r="CQ26" i="2"/>
  <c r="CS9" i="2"/>
  <c r="CL43" i="2"/>
  <c r="CN26" i="2"/>
  <c r="CK9" i="2"/>
  <c r="CU43" i="2"/>
  <c r="CW9" i="2"/>
  <c r="CO9" i="2"/>
  <c r="CT9" i="2"/>
  <c r="CR26" i="2"/>
  <c r="CV26" i="2"/>
  <c r="CO26" i="2"/>
  <c r="CM43" i="2"/>
  <c r="CV9" i="2"/>
  <c r="CQ43" i="2"/>
  <c r="CV43" i="2"/>
  <c r="CS26" i="2"/>
  <c r="CK26" i="2"/>
  <c r="CU9" i="2"/>
  <c r="CN43" i="2"/>
  <c r="CW26" i="2"/>
  <c r="CP26" i="2"/>
  <c r="CM9" i="2"/>
  <c r="CM26" i="2"/>
  <c r="CR43" i="2"/>
  <c r="CK43" i="2"/>
  <c r="CT26" i="2"/>
  <c r="CS43" i="2"/>
  <c r="CW43" i="2"/>
  <c r="I40" i="5" l="1"/>
  <c r="AI35" i="4" s="1"/>
  <c r="AQ35" i="4"/>
  <c r="C22" i="4" a="1"/>
  <c r="C22" i="4" s="1"/>
  <c r="J21" i="4" a="1"/>
  <c r="J21" i="4" s="1"/>
  <c r="DC43" i="2"/>
  <c r="DJ26" i="2"/>
  <c r="DI26" i="2"/>
  <c r="DF26" i="2"/>
  <c r="CZ26" i="2"/>
  <c r="DM5" i="2"/>
  <c r="DK9" i="2"/>
  <c r="DE9" i="2"/>
  <c r="DE43" i="2"/>
  <c r="DD9" i="2"/>
  <c r="DD43" i="2"/>
  <c r="DC9" i="2"/>
  <c r="CY9" i="2"/>
  <c r="DB9" i="2"/>
  <c r="DK26" i="2"/>
  <c r="DI9" i="2"/>
  <c r="DH26" i="2"/>
  <c r="DF43" i="2"/>
  <c r="DD26" i="2"/>
  <c r="CY26" i="2"/>
  <c r="DG43" i="2"/>
  <c r="CY43" i="2"/>
  <c r="DA26" i="2"/>
  <c r="DK43" i="2"/>
  <c r="DH43" i="2"/>
  <c r="DJ9" i="2"/>
  <c r="DF9" i="2"/>
  <c r="DE26" i="2"/>
  <c r="DG9" i="2"/>
  <c r="CZ43" i="2"/>
  <c r="DB26" i="2"/>
  <c r="DA43" i="2"/>
  <c r="DI43" i="2"/>
  <c r="DG26" i="2"/>
  <c r="DC26" i="2"/>
  <c r="DB43" i="2"/>
  <c r="DH9" i="2"/>
  <c r="DJ43" i="2"/>
  <c r="CZ9" i="2"/>
  <c r="DA9" i="2"/>
  <c r="C23" i="4" l="1" a="1"/>
  <c r="C23" i="4" s="1"/>
  <c r="J22" i="4" a="1"/>
  <c r="J22" i="4" s="1"/>
  <c r="DQ43" i="2"/>
  <c r="DT9" i="2"/>
  <c r="DS9" i="2"/>
  <c r="EA5" i="2"/>
  <c r="DR9" i="2"/>
  <c r="DP9" i="2"/>
  <c r="DN9" i="2"/>
  <c r="DX9" i="2"/>
  <c r="DU43" i="2"/>
  <c r="DN26" i="2"/>
  <c r="DU9" i="2"/>
  <c r="DM9" i="2"/>
  <c r="DP26" i="2"/>
  <c r="DY9" i="2"/>
  <c r="DW26" i="2"/>
  <c r="DW43" i="2"/>
  <c r="DT26" i="2"/>
  <c r="DR43" i="2"/>
  <c r="DV9" i="2"/>
  <c r="DO43" i="2"/>
  <c r="DQ9" i="2"/>
  <c r="DQ26" i="2"/>
  <c r="DU26" i="2"/>
  <c r="DX26" i="2"/>
  <c r="DX43" i="2"/>
  <c r="DP43" i="2"/>
  <c r="DS43" i="2"/>
  <c r="DW9" i="2"/>
  <c r="DO9" i="2"/>
  <c r="DM26" i="2"/>
  <c r="DR26" i="2"/>
  <c r="DV26" i="2"/>
  <c r="DY26" i="2"/>
  <c r="DM43" i="2"/>
  <c r="DT43" i="2"/>
  <c r="DY43" i="2"/>
  <c r="DN43" i="2"/>
  <c r="DO26" i="2"/>
  <c r="DS26" i="2"/>
  <c r="DV43" i="2"/>
  <c r="C24" i="4" l="1" a="1"/>
  <c r="C24" i="4" s="1"/>
  <c r="J23" i="4" a="1"/>
  <c r="J23" i="4" s="1"/>
  <c r="EE43" i="2"/>
  <c r="EL26" i="2"/>
  <c r="ED9" i="2"/>
  <c r="EK26" i="2"/>
  <c r="EB9" i="2"/>
  <c r="EO5" i="2"/>
  <c r="EG26" i="2"/>
  <c r="EB26" i="2"/>
  <c r="EA26" i="2"/>
  <c r="EH43" i="2"/>
  <c r="EM26" i="2"/>
  <c r="EG43" i="2"/>
  <c r="EE9" i="2"/>
  <c r="EF43" i="2"/>
  <c r="EL9" i="2"/>
  <c r="EB43" i="2"/>
  <c r="EH9" i="2"/>
  <c r="EG9" i="2"/>
  <c r="EF9" i="2"/>
  <c r="EF26" i="2"/>
  <c r="EA43" i="2"/>
  <c r="EI43" i="2"/>
  <c r="EM43" i="2"/>
  <c r="EK9" i="2"/>
  <c r="EC26" i="2"/>
  <c r="EA9" i="2"/>
  <c r="EJ43" i="2"/>
  <c r="EM9" i="2"/>
  <c r="EI9" i="2"/>
  <c r="EH26" i="2"/>
  <c r="ED26" i="2"/>
  <c r="EC43" i="2"/>
  <c r="EK43" i="2"/>
  <c r="EI26" i="2"/>
  <c r="EJ9" i="2"/>
  <c r="ED43" i="2"/>
  <c r="EE26" i="2"/>
  <c r="EC9" i="2"/>
  <c r="EL43" i="2"/>
  <c r="EJ26" i="2"/>
  <c r="C25" i="4" l="1" a="1"/>
  <c r="C25" i="4" s="1"/>
  <c r="J24" i="4" a="1"/>
  <c r="J24" i="4" s="1"/>
  <c r="ES43" i="2"/>
  <c r="ES9" i="2"/>
  <c r="ER9" i="2"/>
  <c r="EW43" i="2"/>
  <c r="EU43" i="2"/>
  <c r="EZ26" i="2"/>
  <c r="EY26" i="2"/>
  <c r="EP26" i="2"/>
  <c r="EU9" i="2"/>
  <c r="EX43" i="2"/>
  <c r="EU26" i="2"/>
  <c r="EW9" i="2"/>
  <c r="EP43" i="2"/>
  <c r="ER26" i="2"/>
  <c r="EO9" i="2"/>
  <c r="EY43" i="2"/>
  <c r="FA9" i="2"/>
  <c r="EQ26" i="2"/>
  <c r="EX9" i="2"/>
  <c r="EV26" i="2"/>
  <c r="ET43" i="2"/>
  <c r="ES26" i="2"/>
  <c r="EQ43" i="2"/>
  <c r="EZ9" i="2"/>
  <c r="ET9" i="2"/>
  <c r="EZ43" i="2"/>
  <c r="EP9" i="2"/>
  <c r="EO26" i="2"/>
  <c r="EY9" i="2"/>
  <c r="EW26" i="2"/>
  <c r="FA26" i="2"/>
  <c r="ET26" i="2"/>
  <c r="ER43" i="2"/>
  <c r="EV43" i="2"/>
  <c r="EO43" i="2"/>
  <c r="EQ9" i="2"/>
  <c r="EV9" i="2"/>
  <c r="FA43" i="2"/>
  <c r="EX26" i="2"/>
  <c r="C26" i="4" l="1" a="1"/>
  <c r="C26" i="4" s="1"/>
  <c r="J25" i="4" a="1"/>
  <c r="J25" i="4" s="1"/>
  <c r="C27" i="4" l="1" a="1"/>
  <c r="C27" i="4" s="1"/>
  <c r="J26" i="4" a="1"/>
  <c r="J26" i="4" s="1"/>
  <c r="C28" i="4" l="1" a="1"/>
  <c r="C28" i="4" s="1"/>
  <c r="J27" i="4" a="1"/>
  <c r="J27" i="4" s="1"/>
  <c r="C29" i="4" l="1" a="1"/>
  <c r="C29" i="4" s="1"/>
  <c r="J28" i="4" a="1"/>
  <c r="J28" i="4" s="1"/>
  <c r="C30" i="4" l="1" a="1"/>
  <c r="C30" i="4" s="1"/>
  <c r="J29" i="4" a="1"/>
  <c r="J29" i="4" s="1"/>
  <c r="C31" i="4" l="1" a="1"/>
  <c r="C31" i="4" s="1"/>
  <c r="J30" i="4" a="1"/>
  <c r="J30" i="4" s="1"/>
  <c r="C32" i="4" l="1" a="1"/>
  <c r="C32" i="4" s="1"/>
  <c r="J31" i="4" a="1"/>
  <c r="J31" i="4" s="1"/>
  <c r="C33" i="4" l="1" a="1"/>
  <c r="C33" i="4" s="1"/>
  <c r="J32" i="4" a="1"/>
  <c r="J32" i="4" s="1"/>
  <c r="C34" i="4" l="1" a="1"/>
  <c r="C34" i="4" s="1"/>
  <c r="J33" i="4" a="1"/>
  <c r="J33" i="4" s="1"/>
  <c r="C35" i="4" l="1" a="1"/>
  <c r="C35" i="4" s="1"/>
  <c r="J34" i="4" a="1"/>
  <c r="J34" i="4" s="1"/>
  <c r="C36" i="4" l="1" a="1"/>
  <c r="C36" i="4" s="1"/>
  <c r="J35" i="4" a="1"/>
  <c r="J35" i="4" s="1"/>
  <c r="C37" i="4" l="1" a="1"/>
  <c r="C37" i="4" s="1"/>
  <c r="J36" i="4" a="1"/>
  <c r="J36" i="4" s="1"/>
  <c r="C38" i="4" l="1" a="1"/>
  <c r="C38" i="4" s="1"/>
  <c r="J37" i="4" a="1"/>
  <c r="J37" i="4" s="1"/>
  <c r="C39" i="4" l="1" a="1"/>
  <c r="C39" i="4" s="1"/>
  <c r="J38" i="4" a="1"/>
  <c r="J38" i="4" s="1"/>
  <c r="C40" i="4" l="1" a="1"/>
  <c r="C40" i="4" s="1"/>
  <c r="J39" i="4" a="1"/>
  <c r="J39" i="4" s="1"/>
  <c r="C41" i="4" l="1" a="1"/>
  <c r="C41" i="4" s="1"/>
  <c r="J40" i="4" a="1"/>
  <c r="J40" i="4" s="1"/>
  <c r="C42" i="4" l="1" a="1"/>
  <c r="C42" i="4" s="1"/>
  <c r="J41" i="4" a="1"/>
  <c r="J41" i="4" s="1"/>
  <c r="C43" i="4" l="1" a="1"/>
  <c r="C43" i="4" s="1"/>
  <c r="J42" i="4" a="1"/>
  <c r="J42" i="4" s="1"/>
  <c r="C44" i="4" l="1" a="1"/>
  <c r="C44" i="4" s="1"/>
  <c r="J43" i="4" a="1"/>
  <c r="J43" i="4" s="1"/>
  <c r="C45" i="4" l="1" a="1"/>
  <c r="C45" i="4" s="1"/>
  <c r="J44" i="4" a="1"/>
  <c r="J44" i="4" s="1"/>
  <c r="C46" i="4" l="1" a="1"/>
  <c r="C46" i="4" s="1"/>
  <c r="J45" i="4" a="1"/>
  <c r="J45" i="4" s="1"/>
  <c r="C47" i="4" l="1" a="1"/>
  <c r="C47" i="4" s="1"/>
  <c r="J46" i="4" a="1"/>
  <c r="J46" i="4" s="1"/>
  <c r="C48" i="4" l="1" a="1"/>
  <c r="C48" i="4" s="1"/>
  <c r="J47" i="4" a="1"/>
  <c r="J47" i="4" s="1"/>
  <c r="C49" i="4" l="1" a="1"/>
  <c r="C49" i="4" s="1"/>
  <c r="J48" i="4" a="1"/>
  <c r="J48" i="4" s="1"/>
  <c r="C50" i="4" l="1" a="1"/>
  <c r="C50" i="4" s="1"/>
  <c r="J49" i="4" a="1"/>
  <c r="J49" i="4" s="1"/>
  <c r="C51" i="4" l="1" a="1"/>
  <c r="C51" i="4" s="1"/>
  <c r="J50" i="4" a="1"/>
  <c r="J50" i="4" s="1"/>
  <c r="C52" i="4" l="1" a="1"/>
  <c r="C52" i="4" s="1"/>
  <c r="J51" i="4" a="1"/>
  <c r="J51" i="4" s="1"/>
  <c r="C53" i="4" l="1" a="1"/>
  <c r="C53" i="4" s="1"/>
  <c r="J52" i="4" a="1"/>
  <c r="J52" i="4" s="1"/>
  <c r="C54" i="4" l="1" a="1"/>
  <c r="C54" i="4" s="1"/>
  <c r="J53" i="4" a="1"/>
  <c r="J53" i="4" s="1"/>
  <c r="C55" i="4" l="1" a="1"/>
  <c r="C55" i="4" s="1"/>
  <c r="J54" i="4" a="1"/>
  <c r="J54" i="4" s="1"/>
  <c r="C56" i="4" l="1" a="1"/>
  <c r="C56" i="4" s="1"/>
  <c r="J55" i="4" a="1"/>
  <c r="J55" i="4" s="1"/>
  <c r="C57" i="4" l="1" a="1"/>
  <c r="C57" i="4" s="1"/>
  <c r="J56" i="4" a="1"/>
  <c r="J56" i="4" s="1"/>
  <c r="C58" i="4" l="1" a="1"/>
  <c r="C58" i="4" s="1"/>
  <c r="J57" i="4" a="1"/>
  <c r="J57" i="4" s="1"/>
  <c r="C59" i="4" l="1" a="1"/>
  <c r="C59" i="4" s="1"/>
  <c r="J58" i="4" a="1"/>
  <c r="J58" i="4" s="1"/>
  <c r="C60" i="4" l="1" a="1"/>
  <c r="C60" i="4" s="1"/>
  <c r="J60" i="4" s="1" a="1"/>
  <c r="J60" i="4" s="1"/>
  <c r="J59" i="4" a="1"/>
  <c r="J59" i="4" s="1"/>
  <c r="CI41" i="2" a="1"/>
  <c r="CI41" i="2" l="1"/>
  <c r="DV41" i="2" a="1"/>
  <c r="DV41" i="2" l="1"/>
  <c r="BU41" i="2" a="1"/>
  <c r="BU41" i="2" l="1"/>
  <c r="EF41" i="2" a="1"/>
  <c r="EF41" i="2" l="1"/>
  <c r="AE41" i="2" a="1"/>
  <c r="AE41" i="2" l="1"/>
  <c r="CL41" i="2" a="1"/>
  <c r="CL41" i="2" l="1"/>
  <c r="FA41" i="2" a="1"/>
  <c r="FA41" i="2" l="1"/>
  <c r="FA58" i="2" a="1"/>
  <c r="FA58" i="2" l="1"/>
  <c r="FA7" i="2" s="1"/>
  <c r="FA6" i="2" s="1"/>
  <c r="EU41" i="2" a="1"/>
  <c r="EU41" i="2" l="1"/>
  <c r="EU58" i="2" a="1"/>
  <c r="EU58" i="2" l="1"/>
  <c r="EU7" i="2" s="1"/>
  <c r="EU6" i="2" s="1"/>
  <c r="EO41" i="2" a="1"/>
  <c r="EO41" i="2" l="1"/>
  <c r="EO58" i="2" a="1"/>
  <c r="EO58" i="2" l="1"/>
  <c r="EO7" i="2" s="1"/>
  <c r="EO6" i="2" s="1"/>
  <c r="EZ41" i="2" a="1"/>
  <c r="EZ41" i="2" l="1"/>
  <c r="EZ58" i="2" a="1"/>
  <c r="EZ58" i="2" l="1"/>
  <c r="EZ7" i="2" s="1"/>
  <c r="EZ6" i="2" s="1"/>
  <c r="ET41" i="2" a="1"/>
  <c r="ET41" i="2" l="1"/>
  <c r="ET58" i="2" a="1"/>
  <c r="ET58" i="2" l="1"/>
  <c r="ET7" i="2" s="1"/>
  <c r="ET6" i="2" s="1"/>
  <c r="EY41" i="2" a="1"/>
  <c r="EY41" i="2" l="1"/>
  <c r="EY58" i="2" a="1"/>
  <c r="EY58" i="2" l="1"/>
  <c r="EY7" i="2" s="1"/>
  <c r="EY6" i="2" s="1"/>
  <c r="ES41" i="2" a="1"/>
  <c r="ES41" i="2" l="1"/>
  <c r="ES58" i="2" a="1"/>
  <c r="ES58" i="2" l="1"/>
  <c r="ES7" i="2" s="1"/>
  <c r="ES6" i="2" s="1"/>
  <c r="EX41" i="2" a="1"/>
  <c r="EX41" i="2" l="1"/>
  <c r="EX58" i="2" a="1"/>
  <c r="EX58" i="2" l="1"/>
  <c r="EX7" i="2" s="1"/>
  <c r="EX6" i="2" s="1"/>
  <c r="ER41" i="2" a="1"/>
  <c r="ER41" i="2" l="1"/>
  <c r="ER58" i="2" a="1"/>
  <c r="ER58" i="2" l="1"/>
  <c r="ER7" i="2" s="1"/>
  <c r="ER6" i="2" s="1"/>
  <c r="EW41" i="2" a="1"/>
  <c r="EW41" i="2" l="1"/>
  <c r="EW58" i="2" a="1"/>
  <c r="EW58" i="2" l="1"/>
  <c r="EW7" i="2" s="1"/>
  <c r="EW6" i="2" s="1"/>
  <c r="EQ41" i="2" a="1"/>
  <c r="EQ41" i="2" l="1"/>
  <c r="EQ58" i="2" a="1"/>
  <c r="EQ58" i="2" l="1"/>
  <c r="EQ7" i="2" s="1"/>
  <c r="EQ6" i="2" s="1"/>
  <c r="EV41" i="2" a="1"/>
  <c r="EV41" i="2" l="1"/>
  <c r="EV58" i="2" a="1"/>
  <c r="EV58" i="2" l="1"/>
  <c r="EV7" i="2" s="1"/>
  <c r="EV6" i="2" s="1"/>
  <c r="EP41" i="2" a="1"/>
  <c r="EP41" i="2" l="1"/>
  <c r="EP58" i="2" a="1"/>
  <c r="EP58" i="2" l="1"/>
  <c r="EP7" i="2" s="1"/>
  <c r="EP6" i="2" s="1"/>
  <c r="EM41" i="2" a="1"/>
  <c r="EM41" i="2" l="1"/>
  <c r="EM58" i="2" a="1"/>
  <c r="EM58" i="2" l="1"/>
  <c r="EM7" i="2" s="1"/>
  <c r="EM6" i="2" s="1"/>
  <c r="EG41" i="2" a="1"/>
  <c r="EG41" i="2" l="1"/>
  <c r="EG58" i="2" a="1"/>
  <c r="EG58" i="2" l="1"/>
  <c r="EG7" i="2" s="1"/>
  <c r="EG6" i="2" s="1"/>
  <c r="EA41" i="2" a="1"/>
  <c r="EA41" i="2" l="1"/>
  <c r="EA58" i="2" a="1"/>
  <c r="EA58" i="2" l="1"/>
  <c r="EA7" i="2" s="1"/>
  <c r="EA6" i="2" s="1"/>
  <c r="EL41" i="2" a="1"/>
  <c r="EL41" i="2" l="1"/>
  <c r="EL58" i="2" a="1"/>
  <c r="EL58" i="2" l="1"/>
  <c r="EL7" i="2" s="1"/>
  <c r="EL6" i="2" s="1"/>
  <c r="EF58" i="2" a="1"/>
  <c r="EF58" i="2" l="1"/>
  <c r="EF7" i="2" s="1"/>
  <c r="EF6" i="2" s="1"/>
  <c r="EK41" i="2" a="1"/>
  <c r="EK41" i="2" l="1"/>
  <c r="EK58" i="2" a="1"/>
  <c r="EK58" i="2" l="1"/>
  <c r="EK7" i="2" s="1"/>
  <c r="EK6" i="2" s="1"/>
  <c r="EE41" i="2" a="1"/>
  <c r="EE41" i="2" l="1"/>
  <c r="EE58" i="2" a="1"/>
  <c r="EE58" i="2" l="1"/>
  <c r="EE7" i="2" s="1"/>
  <c r="EE6" i="2" s="1"/>
  <c r="EB41" i="2" a="1"/>
  <c r="EB41" i="2" l="1"/>
  <c r="EB58" i="2" a="1"/>
  <c r="EB58" i="2" l="1"/>
  <c r="EB7" i="2" s="1"/>
  <c r="EB6" i="2" s="1"/>
  <c r="EJ41" i="2" a="1"/>
  <c r="EJ41" i="2" l="1"/>
  <c r="EJ58" i="2" a="1"/>
  <c r="EJ58" i="2" l="1"/>
  <c r="EJ7" i="2" s="1"/>
  <c r="EJ6" i="2" s="1"/>
  <c r="ED41" i="2" a="1"/>
  <c r="ED41" i="2" l="1"/>
  <c r="ED58" i="2" a="1"/>
  <c r="ED58" i="2" l="1"/>
  <c r="ED7" i="2" s="1"/>
  <c r="ED6" i="2" s="1"/>
  <c r="EI41" i="2" a="1"/>
  <c r="EI41" i="2" l="1"/>
  <c r="EI58" i="2" a="1"/>
  <c r="EI58" i="2" l="1"/>
  <c r="EI7" i="2" s="1"/>
  <c r="EI6" i="2" s="1"/>
  <c r="EC41" i="2" a="1"/>
  <c r="EC41" i="2" l="1"/>
  <c r="EC58" i="2" a="1"/>
  <c r="EC58" i="2" l="1"/>
  <c r="EC7" i="2" s="1"/>
  <c r="EC6" i="2" s="1"/>
  <c r="EH41" i="2" a="1"/>
  <c r="EH41" i="2" l="1"/>
  <c r="EH58" i="2" a="1"/>
  <c r="EH58" i="2" l="1"/>
  <c r="EH7" i="2" s="1"/>
  <c r="EH6" i="2" s="1"/>
  <c r="DY41" i="2" a="1"/>
  <c r="DY41" i="2" l="1"/>
  <c r="DY58" i="2" a="1"/>
  <c r="DY58" i="2" l="1"/>
  <c r="DY7" i="2" s="1"/>
  <c r="DY6" i="2" s="1"/>
  <c r="DS41" i="2" a="1"/>
  <c r="DS41" i="2" l="1"/>
  <c r="DS58" i="2" a="1"/>
  <c r="DS58" i="2" l="1"/>
  <c r="DS7" i="2" s="1"/>
  <c r="DS6" i="2" s="1"/>
  <c r="DM41" i="2" a="1"/>
  <c r="DM41" i="2" l="1"/>
  <c r="DM58" i="2" a="1"/>
  <c r="DM58" i="2" l="1"/>
  <c r="DM7" i="2" s="1"/>
  <c r="DM6" i="2" s="1"/>
  <c r="DX41" i="2" a="1"/>
  <c r="DX41" i="2" l="1"/>
  <c r="DX58" i="2" a="1"/>
  <c r="DX58" i="2" l="1"/>
  <c r="DX7" i="2" s="1"/>
  <c r="DX6" i="2" s="1"/>
  <c r="DR41" i="2" a="1"/>
  <c r="DR41" i="2" l="1"/>
  <c r="DR58" i="2" a="1"/>
  <c r="DR58" i="2" l="1"/>
  <c r="DR7" i="2" s="1"/>
  <c r="DR6" i="2" s="1"/>
  <c r="DW41" i="2" a="1"/>
  <c r="DW41" i="2" l="1"/>
  <c r="DW58" i="2" a="1"/>
  <c r="DW58" i="2" l="1"/>
  <c r="DW7" i="2" s="1"/>
  <c r="DW6" i="2" s="1"/>
  <c r="DQ41" i="2" a="1"/>
  <c r="DQ41" i="2" l="1"/>
  <c r="DQ58" i="2" a="1"/>
  <c r="DQ58" i="2" l="1"/>
  <c r="DQ7" i="2" s="1"/>
  <c r="DQ6" i="2" s="1"/>
  <c r="DV58" i="2" a="1"/>
  <c r="DV58" i="2" l="1"/>
  <c r="DV7" i="2" s="1"/>
  <c r="DV6" i="2" s="1"/>
  <c r="DP41" i="2" a="1"/>
  <c r="DP41" i="2" l="1"/>
  <c r="DP58" i="2" a="1"/>
  <c r="DP58" i="2" l="1"/>
  <c r="DP7" i="2" s="1"/>
  <c r="DP6" i="2" s="1"/>
  <c r="DU41" i="2" a="1"/>
  <c r="DU41" i="2" l="1"/>
  <c r="DU58" i="2" a="1"/>
  <c r="DU58" i="2" l="1"/>
  <c r="DU7" i="2" s="1"/>
  <c r="DU6" i="2" s="1"/>
  <c r="DO41" i="2" a="1"/>
  <c r="DO41" i="2" l="1"/>
  <c r="DO58" i="2" a="1"/>
  <c r="DO58" i="2" l="1"/>
  <c r="DO7" i="2" s="1"/>
  <c r="DO6" i="2" s="1"/>
  <c r="DT41" i="2" a="1"/>
  <c r="DT41" i="2" l="1"/>
  <c r="DT58" i="2" a="1"/>
  <c r="DT58" i="2" l="1"/>
  <c r="DT7" i="2" s="1"/>
  <c r="DT6" i="2" s="1"/>
  <c r="DN41" i="2" a="1"/>
  <c r="DN41" i="2" l="1"/>
  <c r="DN58" i="2" a="1"/>
  <c r="DN58" i="2" l="1"/>
  <c r="DN7" i="2" s="1"/>
  <c r="DN6" i="2" s="1"/>
  <c r="DK41" i="2" a="1"/>
  <c r="DK41" i="2" l="1"/>
  <c r="DK58" i="2" a="1"/>
  <c r="DK58" i="2" l="1"/>
  <c r="DK7" i="2" s="1"/>
  <c r="DK6" i="2" s="1"/>
  <c r="DE41" i="2" a="1"/>
  <c r="DE41" i="2" l="1"/>
  <c r="DE58" i="2" a="1"/>
  <c r="DE58" i="2" l="1"/>
  <c r="DE7" i="2" s="1"/>
  <c r="DE6" i="2" s="1"/>
  <c r="CY41" i="2" a="1"/>
  <c r="CY41" i="2" l="1"/>
  <c r="CY58" i="2" a="1"/>
  <c r="CY58" i="2" l="1"/>
  <c r="CY7" i="2" s="1"/>
  <c r="CY6" i="2" s="1"/>
  <c r="DJ41" i="2" a="1"/>
  <c r="DJ41" i="2" l="1"/>
  <c r="DJ58" i="2" a="1"/>
  <c r="DJ58" i="2" l="1"/>
  <c r="DJ7" i="2" s="1"/>
  <c r="DJ6" i="2" s="1"/>
  <c r="DD41" i="2" a="1"/>
  <c r="DD41" i="2" l="1"/>
  <c r="DD58" i="2" a="1"/>
  <c r="DD58" i="2" l="1"/>
  <c r="DD7" i="2" s="1"/>
  <c r="DD6" i="2" s="1"/>
  <c r="DI41" i="2" a="1"/>
  <c r="DI41" i="2" l="1"/>
  <c r="DI58" i="2" a="1"/>
  <c r="DI58" i="2" l="1"/>
  <c r="DI7" i="2" s="1"/>
  <c r="DI6" i="2" s="1"/>
  <c r="DC41" i="2" a="1"/>
  <c r="DC41" i="2" l="1"/>
  <c r="DC58" i="2" a="1"/>
  <c r="DC58" i="2" l="1"/>
  <c r="DC7" i="2" s="1"/>
  <c r="DC6" i="2" s="1"/>
  <c r="DH41" i="2" a="1"/>
  <c r="DH41" i="2" l="1"/>
  <c r="DH58" i="2" a="1"/>
  <c r="DH58" i="2" l="1"/>
  <c r="DH7" i="2" s="1"/>
  <c r="DH6" i="2" s="1"/>
  <c r="DB41" i="2" a="1"/>
  <c r="DB41" i="2" l="1"/>
  <c r="DB58" i="2" a="1"/>
  <c r="DB58" i="2" l="1"/>
  <c r="DB7" i="2" s="1"/>
  <c r="DB6" i="2" s="1"/>
  <c r="DG41" i="2" a="1"/>
  <c r="DG41" i="2" l="1"/>
  <c r="DG58" i="2" a="1"/>
  <c r="DG58" i="2" l="1"/>
  <c r="DG7" i="2" s="1"/>
  <c r="DG6" i="2" s="1"/>
  <c r="DA41" i="2" a="1"/>
  <c r="DA41" i="2" l="1"/>
  <c r="DA58" i="2" a="1"/>
  <c r="DA58" i="2" l="1"/>
  <c r="DA7" i="2" s="1"/>
  <c r="DA6" i="2" s="1"/>
  <c r="DF41" i="2" a="1"/>
  <c r="DF41" i="2" l="1"/>
  <c r="DF58" i="2" a="1"/>
  <c r="DF58" i="2" l="1"/>
  <c r="DF7" i="2" s="1"/>
  <c r="DF6" i="2" s="1"/>
  <c r="CZ41" i="2" a="1"/>
  <c r="CZ41" i="2" l="1"/>
  <c r="CZ58" i="2" a="1"/>
  <c r="CZ58" i="2" l="1"/>
  <c r="CZ7" i="2" s="1"/>
  <c r="CZ6" i="2" s="1"/>
  <c r="CW41" i="2" a="1"/>
  <c r="CW41" i="2" l="1"/>
  <c r="CW58" i="2" a="1"/>
  <c r="CW58" i="2" l="1"/>
  <c r="CW7" i="2" s="1"/>
  <c r="CW6" i="2" s="1"/>
  <c r="CQ41" i="2" a="1"/>
  <c r="CQ41" i="2" l="1"/>
  <c r="CQ58" i="2" a="1"/>
  <c r="CQ58" i="2" l="1"/>
  <c r="CQ7" i="2" s="1"/>
  <c r="CQ6" i="2" s="1"/>
  <c r="CK41" i="2" a="1"/>
  <c r="CK41" i="2" l="1"/>
  <c r="CK58" i="2" a="1"/>
  <c r="CK58" i="2" l="1"/>
  <c r="CK7" i="2" s="1"/>
  <c r="CK6" i="2" s="1"/>
  <c r="CV41" i="2" a="1"/>
  <c r="CV41" i="2" l="1"/>
  <c r="CV58" i="2" a="1"/>
  <c r="CV58" i="2" l="1"/>
  <c r="CV7" i="2" s="1"/>
  <c r="CV6" i="2" s="1"/>
  <c r="CP41" i="2" a="1"/>
  <c r="CP41" i="2" l="1"/>
  <c r="CP58" i="2" a="1"/>
  <c r="CP58" i="2" l="1"/>
  <c r="CP7" i="2" s="1"/>
  <c r="CP6" i="2" s="1"/>
  <c r="CU41" i="2" a="1"/>
  <c r="CU41" i="2" l="1"/>
  <c r="CU58" i="2" a="1"/>
  <c r="CU58" i="2" l="1"/>
  <c r="CU7" i="2" s="1"/>
  <c r="CU6" i="2" s="1"/>
  <c r="CO41" i="2" a="1"/>
  <c r="CO41" i="2" l="1"/>
  <c r="CO58" i="2" a="1"/>
  <c r="CO58" i="2" l="1"/>
  <c r="CO7" i="2" s="1"/>
  <c r="CO6" i="2" s="1"/>
  <c r="CT41" i="2" a="1"/>
  <c r="CT41" i="2" l="1"/>
  <c r="CT58" i="2" a="1"/>
  <c r="CT58" i="2" l="1"/>
  <c r="CT7" i="2" s="1"/>
  <c r="CT6" i="2" s="1"/>
  <c r="CN41" i="2" a="1"/>
  <c r="CN41" i="2" l="1"/>
  <c r="CN58" i="2" a="1"/>
  <c r="CN58" i="2" l="1"/>
  <c r="CN7" i="2" s="1"/>
  <c r="CN6" i="2" s="1"/>
  <c r="CS41" i="2" a="1"/>
  <c r="CS41" i="2" l="1"/>
  <c r="CS58" i="2" a="1"/>
  <c r="CS58" i="2" l="1"/>
  <c r="CS7" i="2" s="1"/>
  <c r="CS6" i="2" s="1"/>
  <c r="CM41" i="2" a="1"/>
  <c r="CM41" i="2" l="1"/>
  <c r="CM58" i="2" a="1"/>
  <c r="CM58" i="2" l="1"/>
  <c r="CM7" i="2" s="1"/>
  <c r="CM6" i="2" s="1"/>
  <c r="CR41" i="2" a="1"/>
  <c r="CR41" i="2" l="1"/>
  <c r="CR58" i="2" a="1"/>
  <c r="CR58" i="2" l="1"/>
  <c r="CR7" i="2" s="1"/>
  <c r="CR6" i="2" s="1"/>
  <c r="CL58" i="2" a="1"/>
  <c r="CL58" i="2" l="1"/>
  <c r="CL7" i="2" s="1"/>
  <c r="CL6" i="2" s="1"/>
  <c r="CI58" i="2" a="1"/>
  <c r="CI58" i="2" l="1"/>
  <c r="CI7" i="2" s="1"/>
  <c r="CI6" i="2" s="1"/>
  <c r="CC41" i="2" a="1"/>
  <c r="CC41" i="2" l="1"/>
  <c r="CC58" i="2" a="1"/>
  <c r="CC58" i="2" l="1"/>
  <c r="CC7" i="2" s="1"/>
  <c r="CC6" i="2" s="1"/>
  <c r="BW41" i="2" a="1"/>
  <c r="BW41" i="2" l="1"/>
  <c r="BW58" i="2" a="1"/>
  <c r="BW58" i="2" l="1"/>
  <c r="BW7" i="2" s="1"/>
  <c r="BW6" i="2" s="1"/>
  <c r="CD41" i="2" a="1"/>
  <c r="CD41" i="2" l="1"/>
  <c r="CD58" i="2" a="1"/>
  <c r="CD58" i="2" l="1"/>
  <c r="CD7" i="2" s="1"/>
  <c r="CD6" i="2" s="1"/>
  <c r="CH41" i="2" a="1"/>
  <c r="CH41" i="2" l="1"/>
  <c r="CH58" i="2" a="1"/>
  <c r="CH58" i="2" l="1"/>
  <c r="CH7" i="2" s="1"/>
  <c r="CH6" i="2" s="1"/>
  <c r="CB41" i="2" a="1"/>
  <c r="CB41" i="2" l="1"/>
  <c r="CB58" i="2" a="1"/>
  <c r="CB58" i="2" l="1"/>
  <c r="CB7" i="2" s="1"/>
  <c r="CB6" i="2" s="1"/>
  <c r="BX41" i="2" a="1"/>
  <c r="BX41" i="2" l="1"/>
  <c r="BX58" i="2" a="1"/>
  <c r="BX58" i="2" l="1"/>
  <c r="BX7" i="2" s="1"/>
  <c r="BX6" i="2" s="1"/>
  <c r="CG41" i="2" a="1"/>
  <c r="CG41" i="2" l="1"/>
  <c r="CG58" i="2" a="1"/>
  <c r="CG58" i="2" l="1"/>
  <c r="CG7" i="2" s="1"/>
  <c r="CG6" i="2" s="1"/>
  <c r="CA41" i="2" a="1"/>
  <c r="CA41" i="2" l="1"/>
  <c r="CA58" i="2" a="1"/>
  <c r="CA58" i="2" l="1"/>
  <c r="CA7" i="2" s="1"/>
  <c r="CA6" i="2" s="1"/>
  <c r="CF41" i="2" a="1"/>
  <c r="CF41" i="2" l="1"/>
  <c r="CF58" i="2" a="1"/>
  <c r="CF58" i="2" l="1"/>
  <c r="CF7" i="2" s="1"/>
  <c r="CF6" i="2" s="1"/>
  <c r="BZ41" i="2" a="1"/>
  <c r="BZ41" i="2" l="1"/>
  <c r="BZ58" i="2" a="1"/>
  <c r="BZ58" i="2" l="1"/>
  <c r="BZ7" i="2" s="1"/>
  <c r="BZ6" i="2" s="1"/>
  <c r="CE41" i="2" a="1"/>
  <c r="CE41" i="2" l="1"/>
  <c r="CE58" i="2" a="1"/>
  <c r="CE58" i="2" l="1"/>
  <c r="CE7" i="2" s="1"/>
  <c r="CE6" i="2" s="1"/>
  <c r="BY41" i="2" a="1"/>
  <c r="BY41" i="2" l="1"/>
  <c r="BY58" i="2" a="1"/>
  <c r="BY58" i="2" l="1"/>
  <c r="BY7" i="2" s="1"/>
  <c r="BY6" i="2" s="1"/>
  <c r="BI41" i="2" a="1"/>
  <c r="BI41" i="2" l="1"/>
  <c r="BI58" i="2" a="1"/>
  <c r="BI58" i="2" l="1"/>
  <c r="BI7" i="2" s="1"/>
  <c r="BI6" i="2" s="1"/>
  <c r="BU58" i="2" a="1"/>
  <c r="BU58" i="2" l="1"/>
  <c r="BU7" i="2" s="1"/>
  <c r="BU6" i="2" s="1"/>
  <c r="BO41" i="2" a="1"/>
  <c r="BO41" i="2" l="1"/>
  <c r="BO58" i="2" a="1"/>
  <c r="BO58" i="2" l="1"/>
  <c r="BO7" i="2" s="1"/>
  <c r="BO6" i="2" s="1"/>
  <c r="BT41" i="2" a="1"/>
  <c r="BT41" i="2" l="1"/>
  <c r="BT58" i="2" a="1"/>
  <c r="BT58" i="2" l="1"/>
  <c r="BT7" i="2" s="1"/>
  <c r="BT6" i="2" s="1"/>
  <c r="BN41" i="2" a="1"/>
  <c r="BN41" i="2" l="1"/>
  <c r="BN58" i="2" a="1"/>
  <c r="BN58" i="2" l="1"/>
  <c r="BN7" i="2" s="1"/>
  <c r="BN6" i="2" s="1"/>
  <c r="BQ41" i="2" a="1"/>
  <c r="BQ41" i="2" l="1"/>
  <c r="BQ58" i="2" a="1"/>
  <c r="BQ58" i="2" l="1"/>
  <c r="BQ7" i="2" s="1"/>
  <c r="BQ6" i="2" s="1"/>
  <c r="BS41" i="2" a="1"/>
  <c r="BS41" i="2" l="1"/>
  <c r="BS58" i="2" a="1"/>
  <c r="BS58" i="2" l="1"/>
  <c r="BS7" i="2" s="1"/>
  <c r="BS6" i="2" s="1"/>
  <c r="BM41" i="2" a="1"/>
  <c r="BM41" i="2" l="1"/>
  <c r="BM58" i="2" a="1"/>
  <c r="BM58" i="2" l="1"/>
  <c r="BM7" i="2" s="1"/>
  <c r="BM6" i="2" s="1"/>
  <c r="BK41" i="2" a="1"/>
  <c r="BK41" i="2" l="1"/>
  <c r="BK58" i="2" a="1"/>
  <c r="BK58" i="2" l="1"/>
  <c r="BK7" i="2" s="1"/>
  <c r="BK6" i="2" s="1"/>
  <c r="BR41" i="2" a="1"/>
  <c r="BR41" i="2" l="1"/>
  <c r="BR58" i="2" a="1"/>
  <c r="BR58" i="2" l="1"/>
  <c r="BR7" i="2" s="1"/>
  <c r="BR6" i="2" s="1"/>
  <c r="BL41" i="2" a="1"/>
  <c r="BL41" i="2" l="1"/>
  <c r="BL58" i="2" a="1"/>
  <c r="BL58" i="2" l="1"/>
  <c r="BL7" i="2" s="1"/>
  <c r="BL6" i="2" s="1"/>
  <c r="BP41" i="2" a="1"/>
  <c r="BP41" i="2" l="1"/>
  <c r="BP58" i="2" a="1"/>
  <c r="BP58" i="2" l="1"/>
  <c r="BP7" i="2" s="1"/>
  <c r="BP6" i="2" s="1"/>
  <c r="BJ41" i="2" a="1"/>
  <c r="BJ41" i="2" l="1"/>
  <c r="BJ58" i="2" a="1"/>
  <c r="BJ58" i="2" l="1"/>
  <c r="BJ7" i="2" s="1"/>
  <c r="BJ6" i="2" s="1"/>
  <c r="AV41" i="2" a="1"/>
  <c r="AV41" i="2" l="1"/>
  <c r="AV58" i="2" a="1"/>
  <c r="AV58" i="2" l="1"/>
  <c r="AV7" i="2" s="1"/>
  <c r="AV6" i="2" s="1"/>
  <c r="BG41" i="2" a="1"/>
  <c r="BG41" i="2" l="1"/>
  <c r="BG58" i="2" a="1"/>
  <c r="BG58" i="2" l="1"/>
  <c r="BG7" i="2" s="1"/>
  <c r="BG6" i="2" s="1"/>
  <c r="BA41" i="2" a="1"/>
  <c r="BA41" i="2" l="1"/>
  <c r="BA58" i="2" a="1"/>
  <c r="BA58" i="2" l="1"/>
  <c r="BA7" i="2" s="1"/>
  <c r="BA6" i="2" s="1"/>
  <c r="AU41" i="2" a="1"/>
  <c r="AU41" i="2" l="1"/>
  <c r="AU58" i="2" a="1"/>
  <c r="AU58" i="2" l="1"/>
  <c r="AU7" i="2" s="1"/>
  <c r="AU6" i="2" s="1"/>
  <c r="BF41" i="2" a="1"/>
  <c r="BF41" i="2" l="1"/>
  <c r="BF58" i="2" a="1"/>
  <c r="BF58" i="2" l="1"/>
  <c r="BF7" i="2" s="1"/>
  <c r="BF6" i="2" s="1"/>
  <c r="AZ41" i="2" a="1"/>
  <c r="AZ41" i="2" l="1"/>
  <c r="AZ58" i="2" a="1"/>
  <c r="AZ58" i="2" l="1"/>
  <c r="AZ7" i="2" s="1"/>
  <c r="AZ6" i="2" s="1"/>
  <c r="BB41" i="2" a="1"/>
  <c r="BB41" i="2" l="1"/>
  <c r="BB58" i="2" a="1"/>
  <c r="BB58" i="2" l="1"/>
  <c r="BB7" i="2" s="1"/>
  <c r="BB6" i="2" s="1"/>
  <c r="BE41" i="2" a="1"/>
  <c r="BE41" i="2" l="1"/>
  <c r="BE58" i="2" a="1"/>
  <c r="BE58" i="2" l="1"/>
  <c r="BE7" i="2" s="1"/>
  <c r="BE6" i="2" s="1"/>
  <c r="AY41" i="2" a="1"/>
  <c r="AY41" i="2" l="1"/>
  <c r="AY58" i="2" a="1"/>
  <c r="AY58" i="2" l="1"/>
  <c r="AY7" i="2" s="1"/>
  <c r="AY6" i="2" s="1"/>
  <c r="BD41" i="2" a="1"/>
  <c r="BD41" i="2" l="1"/>
  <c r="BD58" i="2" a="1"/>
  <c r="BD58" i="2" l="1"/>
  <c r="BD7" i="2" s="1"/>
  <c r="BD6" i="2" s="1"/>
  <c r="AX41" i="2" a="1"/>
  <c r="AX41" i="2" l="1"/>
  <c r="AX58" i="2" a="1"/>
  <c r="AX58" i="2" l="1"/>
  <c r="AX7" i="2" s="1"/>
  <c r="AX6" i="2" s="1"/>
  <c r="BC41" i="2" a="1"/>
  <c r="BC41" i="2" l="1"/>
  <c r="BC58" i="2" a="1"/>
  <c r="BC58" i="2" l="1"/>
  <c r="BC7" i="2" s="1"/>
  <c r="BC6" i="2" s="1"/>
  <c r="AW41" i="2" a="1"/>
  <c r="AW41" i="2" l="1"/>
  <c r="AW58" i="2" a="1"/>
  <c r="AW58" i="2" l="1"/>
  <c r="AW7" i="2" s="1"/>
  <c r="AW6" i="2" s="1"/>
  <c r="AS41" i="2" a="1"/>
  <c r="AS41" i="2" l="1"/>
  <c r="AS58" i="2" a="1"/>
  <c r="AS58" i="2" l="1"/>
  <c r="AS7" i="2" s="1"/>
  <c r="AS6" i="2" s="1"/>
  <c r="AM41" i="2" a="1"/>
  <c r="AM41" i="2" l="1"/>
  <c r="AM58" i="2" a="1"/>
  <c r="AM58" i="2" l="1"/>
  <c r="AM7" i="2" s="1"/>
  <c r="AM6" i="2" s="1"/>
  <c r="AG41" i="2" a="1"/>
  <c r="AG41" i="2" l="1"/>
  <c r="AG58" i="2" a="1"/>
  <c r="AG58" i="2" l="1"/>
  <c r="AG7" i="2" s="1"/>
  <c r="AG6" i="2" s="1"/>
  <c r="AR41" i="2" a="1"/>
  <c r="AR41" i="2" l="1"/>
  <c r="AR58" i="2" a="1"/>
  <c r="AR58" i="2" l="1"/>
  <c r="AR7" i="2" s="1"/>
  <c r="AR6" i="2" s="1"/>
  <c r="AL41" i="2" a="1"/>
  <c r="AL41" i="2" l="1"/>
  <c r="AL58" i="2" a="1"/>
  <c r="AL58" i="2" l="1"/>
  <c r="AL7" i="2" s="1"/>
  <c r="AL6" i="2" s="1"/>
  <c r="AH41" i="2" a="1"/>
  <c r="AH41" i="2" l="1"/>
  <c r="AH58" i="2" a="1"/>
  <c r="AH58" i="2" l="1"/>
  <c r="AH7" i="2" s="1"/>
  <c r="AH6" i="2" s="1"/>
  <c r="AQ41" i="2" a="1"/>
  <c r="AQ41" i="2" l="1"/>
  <c r="AQ58" i="2" a="1"/>
  <c r="AQ58" i="2" l="1"/>
  <c r="AQ7" i="2" s="1"/>
  <c r="AQ6" i="2" s="1"/>
  <c r="AK41" i="2" a="1"/>
  <c r="AK41" i="2" l="1"/>
  <c r="AK58" i="2" a="1"/>
  <c r="AK58" i="2" l="1"/>
  <c r="AK7" i="2" s="1"/>
  <c r="AK6" i="2" s="1"/>
  <c r="AP41" i="2" a="1"/>
  <c r="AP41" i="2" l="1"/>
  <c r="AP58" i="2" a="1"/>
  <c r="AP58" i="2" l="1"/>
  <c r="AP7" i="2" s="1"/>
  <c r="AP6" i="2" s="1"/>
  <c r="AJ41" i="2" a="1"/>
  <c r="AJ41" i="2" l="1"/>
  <c r="AJ58" i="2" a="1"/>
  <c r="AJ58" i="2" l="1"/>
  <c r="AJ7" i="2" s="1"/>
  <c r="AJ6" i="2" s="1"/>
  <c r="AO41" i="2" a="1"/>
  <c r="AO41" i="2" l="1"/>
  <c r="AO58" i="2" a="1"/>
  <c r="AO58" i="2" l="1"/>
  <c r="AO7" i="2" s="1"/>
  <c r="AO6" i="2" s="1"/>
  <c r="AI41" i="2" a="1"/>
  <c r="AI41" i="2" l="1"/>
  <c r="AI58" i="2" a="1"/>
  <c r="AI58" i="2" l="1"/>
  <c r="AI7" i="2" s="1"/>
  <c r="AI6" i="2" s="1"/>
  <c r="AN41" i="2" a="1"/>
  <c r="AN41" i="2" l="1"/>
  <c r="AN58" i="2" a="1"/>
  <c r="AN58" i="2" l="1"/>
  <c r="AN7" i="2" s="1"/>
  <c r="AN6" i="2" s="1"/>
  <c r="V41" i="2" a="1"/>
  <c r="V41" i="2" l="1"/>
  <c r="V58" i="2" a="1"/>
  <c r="V58" i="2" l="1"/>
  <c r="V7" i="2" s="1"/>
  <c r="V6" i="2" s="1"/>
  <c r="Q41" i="2" a="1"/>
  <c r="Q41" i="2" l="1"/>
  <c r="Q58" i="2" a="1"/>
  <c r="Q58" i="2" l="1"/>
  <c r="M41" i="2" a="1"/>
  <c r="Q7" i="2" l="1"/>
  <c r="Q6" i="2" s="1"/>
  <c r="M41" i="2"/>
  <c r="M58" i="2" a="1"/>
  <c r="M58" i="2" l="1"/>
  <c r="H41" i="2" a="1"/>
  <c r="M7" i="2" l="1"/>
  <c r="M6" i="2" s="1"/>
  <c r="H41" i="2"/>
  <c r="K68" i="5" s="1" a="1"/>
  <c r="K68" i="5" s="1"/>
  <c r="P68" i="5" s="1"/>
  <c r="H58" i="2" a="1"/>
  <c r="L68" i="5" l="1"/>
  <c r="M68" i="5"/>
  <c r="H58" i="2"/>
  <c r="U41" i="2" a="1"/>
  <c r="Q68" i="5" l="1"/>
  <c r="R68" i="5"/>
  <c r="O68" i="5"/>
  <c r="N68" i="5"/>
  <c r="H7" i="2"/>
  <c r="H6" i="2" s="1"/>
  <c r="K69" i="5" a="1"/>
  <c r="K69" i="5" s="1"/>
  <c r="P69" i="5" s="1"/>
  <c r="U41" i="2"/>
  <c r="U58" i="2" a="1"/>
  <c r="L69" i="5" l="1"/>
  <c r="M69" i="5"/>
  <c r="U58" i="2"/>
  <c r="U7" i="2" s="1"/>
  <c r="U6" i="2" s="1"/>
  <c r="O41" i="2" a="1"/>
  <c r="Q69" i="5" l="1"/>
  <c r="R69" i="5"/>
  <c r="N69" i="5"/>
  <c r="O69" i="5"/>
  <c r="O41" i="2"/>
  <c r="O58" i="2" a="1"/>
  <c r="O58" i="2" l="1"/>
  <c r="X41" i="2" a="1"/>
  <c r="O7" i="2" l="1"/>
  <c r="O6" i="2" s="1"/>
  <c r="X41" i="2"/>
  <c r="X58" i="2" a="1"/>
  <c r="X58" i="2" l="1"/>
  <c r="X7" i="2" s="1"/>
  <c r="X6" i="2" s="1"/>
  <c r="L41" i="2" a="1"/>
  <c r="L41" i="2" l="1"/>
  <c r="L58" i="2" a="1"/>
  <c r="L58" i="2" l="1"/>
  <c r="T41" i="2" a="1"/>
  <c r="L7" i="2" l="1"/>
  <c r="L6" i="2" s="1"/>
  <c r="T41" i="2"/>
  <c r="T58" i="2" a="1"/>
  <c r="T58" i="2" l="1"/>
  <c r="T7" i="2" s="1"/>
  <c r="T6" i="2" s="1"/>
  <c r="Z41" i="2" a="1"/>
  <c r="Z41" i="2" l="1"/>
  <c r="K84" i="5" s="1" a="1"/>
  <c r="K84" i="5" s="1"/>
  <c r="Z58" i="2" a="1"/>
  <c r="P84" i="5" l="1"/>
  <c r="L84" i="5"/>
  <c r="M84" i="5"/>
  <c r="Z58" i="2"/>
  <c r="I41" i="2" a="1"/>
  <c r="Z7" i="2" l="1"/>
  <c r="Z6" i="2" s="1"/>
  <c r="K85" i="5" a="1"/>
  <c r="K85" i="5" s="1"/>
  <c r="Q84" i="5"/>
  <c r="R84" i="5"/>
  <c r="O84" i="5"/>
  <c r="N84" i="5"/>
  <c r="I41" i="2"/>
  <c r="I58" i="2" a="1"/>
  <c r="P85" i="5" l="1"/>
  <c r="L85" i="5"/>
  <c r="M85" i="5"/>
  <c r="I58" i="2"/>
  <c r="AD41" i="2" a="1"/>
  <c r="Q85" i="5" l="1"/>
  <c r="R85" i="5"/>
  <c r="N85" i="5"/>
  <c r="O85" i="5"/>
  <c r="I7" i="2"/>
  <c r="I6" i="2" s="1"/>
  <c r="AD41" i="2"/>
  <c r="AD58" i="2" a="1"/>
  <c r="AD58" i="2" l="1"/>
  <c r="AD7" i="2" s="1"/>
  <c r="AD6" i="2" s="1"/>
  <c r="AC41" i="2" a="1"/>
  <c r="AC41" i="2" l="1"/>
  <c r="K96" i="5" s="1" a="1"/>
  <c r="K96" i="5" s="1"/>
  <c r="AC58" i="2" a="1"/>
  <c r="P96" i="5" l="1"/>
  <c r="L96" i="5"/>
  <c r="M96" i="5"/>
  <c r="AC58" i="2"/>
  <c r="P41" i="2" a="1"/>
  <c r="Q96" i="5" l="1"/>
  <c r="R96" i="5"/>
  <c r="N96" i="5"/>
  <c r="O96" i="5"/>
  <c r="AC7" i="2"/>
  <c r="AC6" i="2" s="1"/>
  <c r="K97" i="5" a="1"/>
  <c r="K97" i="5" s="1"/>
  <c r="P41" i="2"/>
  <c r="K100" i="5" s="1" a="1"/>
  <c r="K100" i="5" s="1"/>
  <c r="P100" i="5" s="1"/>
  <c r="P58" i="2" a="1"/>
  <c r="P97" i="5" l="1"/>
  <c r="L97" i="5"/>
  <c r="M97" i="5"/>
  <c r="L100" i="5"/>
  <c r="M100" i="5"/>
  <c r="P58" i="2"/>
  <c r="W41" i="2" a="1"/>
  <c r="Q97" i="5" l="1"/>
  <c r="R97" i="5"/>
  <c r="O97" i="5"/>
  <c r="N97" i="5"/>
  <c r="Q100" i="5"/>
  <c r="R100" i="5"/>
  <c r="O100" i="5"/>
  <c r="N100" i="5"/>
  <c r="P7" i="2"/>
  <c r="P6" i="2" s="1"/>
  <c r="K101" i="5" a="1"/>
  <c r="K101" i="5" s="1"/>
  <c r="P101" i="5" s="1"/>
  <c r="W41" i="2"/>
  <c r="K72" i="5" s="1" a="1"/>
  <c r="K72" i="5" s="1"/>
  <c r="W58" i="2" a="1"/>
  <c r="P72" i="5" l="1"/>
  <c r="M72" i="5"/>
  <c r="L72" i="5"/>
  <c r="L101" i="5"/>
  <c r="M101" i="5"/>
  <c r="W58" i="2"/>
  <c r="AA41" i="2" a="1"/>
  <c r="W7" i="2" l="1"/>
  <c r="W6" i="2" s="1"/>
  <c r="K73" i="5" a="1"/>
  <c r="K73" i="5" s="1"/>
  <c r="Q72" i="5"/>
  <c r="R72" i="5"/>
  <c r="O72" i="5"/>
  <c r="N72" i="5"/>
  <c r="Q101" i="5"/>
  <c r="R101" i="5"/>
  <c r="N101" i="5"/>
  <c r="O101" i="5"/>
  <c r="AA41" i="2"/>
  <c r="K88" i="5" s="1" a="1"/>
  <c r="K88" i="5" s="1"/>
  <c r="AA58" i="2" a="1"/>
  <c r="P88" i="5" l="1"/>
  <c r="L88" i="5"/>
  <c r="M88" i="5"/>
  <c r="P73" i="5"/>
  <c r="L73" i="5"/>
  <c r="M73" i="5"/>
  <c r="AA58" i="2"/>
  <c r="E41" i="2" a="1"/>
  <c r="Q88" i="5" l="1"/>
  <c r="O88" i="5"/>
  <c r="R88" i="5"/>
  <c r="N88" i="5"/>
  <c r="AA7" i="2"/>
  <c r="AA6" i="2" s="1"/>
  <c r="K89" i="5" a="1"/>
  <c r="K89" i="5" s="1"/>
  <c r="R73" i="5"/>
  <c r="O73" i="5"/>
  <c r="N73" i="5"/>
  <c r="Q73" i="5"/>
  <c r="E41" i="2"/>
  <c r="E58" i="2" a="1"/>
  <c r="P89" i="5" l="1"/>
  <c r="L89" i="5"/>
  <c r="M89" i="5"/>
  <c r="E58" i="2"/>
  <c r="G41" i="2" a="1"/>
  <c r="Q89" i="5" l="1"/>
  <c r="O89" i="5"/>
  <c r="R89" i="5"/>
  <c r="N89" i="5"/>
  <c r="E7" i="2"/>
  <c r="E6" i="2" s="1"/>
  <c r="G41" i="2"/>
  <c r="K64" i="5" s="1" a="1"/>
  <c r="K64" i="5" s="1"/>
  <c r="P64" i="5" s="1"/>
  <c r="G58" i="2" a="1"/>
  <c r="L64" i="5" l="1"/>
  <c r="M64" i="5"/>
  <c r="G58" i="2"/>
  <c r="K41" i="2" a="1"/>
  <c r="Q64" i="5" l="1"/>
  <c r="R64" i="5"/>
  <c r="N64" i="5"/>
  <c r="O64" i="5"/>
  <c r="G7" i="2"/>
  <c r="G6" i="2" s="1"/>
  <c r="K65" i="5" a="1"/>
  <c r="K65" i="5" s="1"/>
  <c r="P65" i="5" s="1"/>
  <c r="K41" i="2"/>
  <c r="K58" i="2" a="1"/>
  <c r="L65" i="5" l="1"/>
  <c r="M65" i="5"/>
  <c r="K58" i="2"/>
  <c r="J41" i="2" a="1"/>
  <c r="Q65" i="5" l="1"/>
  <c r="R65" i="5"/>
  <c r="N65" i="5"/>
  <c r="O65" i="5"/>
  <c r="K7" i="2"/>
  <c r="K6" i="2" s="1"/>
  <c r="J41" i="2"/>
  <c r="K76" i="5" s="1" a="1"/>
  <c r="K76" i="5" s="1"/>
  <c r="P76" i="5" s="1"/>
  <c r="J58" i="2" a="1"/>
  <c r="L76" i="5" l="1"/>
  <c r="M76" i="5"/>
  <c r="J58" i="2"/>
  <c r="F41" i="2" a="1"/>
  <c r="Q76" i="5" l="1"/>
  <c r="R76" i="5"/>
  <c r="N76" i="5"/>
  <c r="O76" i="5"/>
  <c r="J7" i="2"/>
  <c r="J6" i="2" s="1"/>
  <c r="K77" i="5" a="1"/>
  <c r="K77" i="5" s="1"/>
  <c r="P77" i="5" s="1"/>
  <c r="F41" i="2"/>
  <c r="F58" i="2" a="1"/>
  <c r="L77" i="5" l="1"/>
  <c r="M77" i="5"/>
  <c r="L30" i="4" a="1"/>
  <c r="L30" i="4" s="1"/>
  <c r="AA30" i="4" s="1"/>
  <c r="AD30" i="4" s="1"/>
  <c r="K60" i="5" a="1"/>
  <c r="K60" i="5" s="1"/>
  <c r="P60" i="5" s="1"/>
  <c r="F58" i="2"/>
  <c r="K61" i="5" s="1" a="1"/>
  <c r="K61" i="5" s="1"/>
  <c r="P61" i="5" s="1"/>
  <c r="AE58" i="2" a="1"/>
  <c r="Q77" i="5" l="1"/>
  <c r="R77" i="5"/>
  <c r="L61" i="5"/>
  <c r="M61" i="5"/>
  <c r="L60" i="5"/>
  <c r="M60" i="5"/>
  <c r="N77" i="5"/>
  <c r="O77" i="5"/>
  <c r="AC30" i="4"/>
  <c r="AB30" i="4"/>
  <c r="F7" i="2"/>
  <c r="F6" i="2" s="1"/>
  <c r="L42" i="4" a="1"/>
  <c r="L42" i="4" s="1"/>
  <c r="AA42" i="4" s="1"/>
  <c r="AD42" i="4" s="1"/>
  <c r="AE58" i="2"/>
  <c r="AE7" i="2" s="1"/>
  <c r="AE6" i="2" s="1"/>
  <c r="Y41" i="2" a="1"/>
  <c r="Q61" i="5" l="1"/>
  <c r="R61" i="5"/>
  <c r="Q60" i="5"/>
  <c r="R60" i="5"/>
  <c r="N60" i="5"/>
  <c r="O60" i="5"/>
  <c r="N61" i="5"/>
  <c r="O61" i="5"/>
  <c r="AB42" i="4"/>
  <c r="AC42" i="4"/>
  <c r="Y41" i="2"/>
  <c r="K80" i="5" s="1" a="1"/>
  <c r="K80" i="5" s="1"/>
  <c r="Y58" i="2" a="1"/>
  <c r="P80" i="5" l="1"/>
  <c r="M80" i="5"/>
  <c r="L80" i="5"/>
  <c r="Y58" i="2"/>
  <c r="S41" i="2" a="1"/>
  <c r="Y7" i="2" l="1"/>
  <c r="Y6" i="2" s="1"/>
  <c r="K81" i="5" a="1"/>
  <c r="K81" i="5" s="1"/>
  <c r="Q80" i="5"/>
  <c r="O80" i="5"/>
  <c r="R80" i="5"/>
  <c r="N80" i="5"/>
  <c r="S41" i="2"/>
  <c r="K56" i="5" s="1" a="1"/>
  <c r="K56" i="5" s="1"/>
  <c r="S58" i="2" a="1"/>
  <c r="P56" i="5" l="1"/>
  <c r="M56" i="5"/>
  <c r="L56" i="5"/>
  <c r="P81" i="5"/>
  <c r="L81" i="5"/>
  <c r="M81" i="5"/>
  <c r="S58" i="2"/>
  <c r="AB41" i="2" a="1"/>
  <c r="S7" i="2" l="1"/>
  <c r="S6" i="2" s="1"/>
  <c r="K57" i="5" a="1"/>
  <c r="K57" i="5" s="1"/>
  <c r="Q56" i="5"/>
  <c r="R56" i="5"/>
  <c r="N56" i="5"/>
  <c r="O56" i="5"/>
  <c r="Q81" i="5"/>
  <c r="R81" i="5"/>
  <c r="N81" i="5"/>
  <c r="O81" i="5"/>
  <c r="AB41" i="2"/>
  <c r="AB58" i="2" a="1"/>
  <c r="L57" i="5" l="1"/>
  <c r="P57" i="5"/>
  <c r="M57" i="5"/>
  <c r="AB58" i="2"/>
  <c r="AB7" i="2" s="1"/>
  <c r="AB6" i="2" s="1"/>
  <c r="N41" i="2" a="1"/>
  <c r="Q57" i="5" l="1"/>
  <c r="R57" i="5"/>
  <c r="N57" i="5"/>
  <c r="O57" i="5"/>
  <c r="N41" i="2"/>
  <c r="K92" i="5" s="1" a="1"/>
  <c r="K92" i="5" s="1"/>
  <c r="P92" i="5" s="1"/>
  <c r="N58" i="2" a="1"/>
  <c r="L92" i="5" l="1"/>
  <c r="M92" i="5"/>
  <c r="N58" i="2"/>
  <c r="Q92" i="5" l="1"/>
  <c r="R92" i="5"/>
  <c r="N92" i="5"/>
  <c r="O92" i="5"/>
  <c r="N7" i="2"/>
  <c r="N6" i="2" s="1"/>
  <c r="K93" i="5" a="1"/>
  <c r="K93" i="5" s="1"/>
  <c r="P93" i="5" s="1"/>
  <c r="L93" i="5" l="1"/>
  <c r="M93" i="5"/>
  <c r="Q93" i="5" l="1"/>
  <c r="R93" i="5"/>
  <c r="N93" i="5"/>
  <c r="O93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<sst xmlns="http://schemas.openxmlformats.org/spreadsheetml/2006/main" count="271" uniqueCount="126">
  <si>
    <t>Income</t>
  </si>
  <si>
    <t>Settings</t>
  </si>
  <si>
    <t>General</t>
  </si>
  <si>
    <t>Starting Year:</t>
  </si>
  <si>
    <t>Set the starting year (YYYY) once at the beginning and do not change it again</t>
  </si>
  <si>
    <t>Budget Planning</t>
  </si>
  <si>
    <r>
      <rPr>
        <b/>
        <sz val="9"/>
        <color theme="0" tint="-0.499984740745262"/>
        <rFont val="Aptos Narrow"/>
        <family val="2"/>
        <scheme val="minor"/>
      </rPr>
      <t xml:space="preserve">Define the starting year in the settings </t>
    </r>
    <r>
      <rPr>
        <b/>
        <sz val="9"/>
        <color theme="0" tint="-0.499984740745262"/>
        <rFont val="Aptos Narrow"/>
        <family val="2"/>
      </rPr>
      <t>→</t>
    </r>
  </si>
  <si>
    <t>Enter Income Category</t>
  </si>
  <si>
    <t>Total</t>
  </si>
  <si>
    <t>Salary (Net)</t>
  </si>
  <si>
    <t>Side Hustle (Net)</t>
  </si>
  <si>
    <t>Dividends (Net)</t>
  </si>
  <si>
    <t>Freelance (Net)</t>
  </si>
  <si>
    <t>Rent</t>
  </si>
  <si>
    <t>Fuel</t>
  </si>
  <si>
    <t>Groceries</t>
  </si>
  <si>
    <t>Enter Expenses Category</t>
  </si>
  <si>
    <t xml:space="preserve"> Expenses</t>
  </si>
  <si>
    <t xml:space="preserve"> Savings</t>
  </si>
  <si>
    <t>Emergency Fund</t>
  </si>
  <si>
    <t>SIP</t>
  </si>
  <si>
    <t>Stock Portfolio</t>
  </si>
  <si>
    <t>Crpto</t>
  </si>
  <si>
    <t>Skill Development</t>
  </si>
  <si>
    <t>Enter Savings Category</t>
  </si>
  <si>
    <t>To be Allocated:</t>
  </si>
  <si>
    <t>Insurances</t>
  </si>
  <si>
    <t>Clothing</t>
  </si>
  <si>
    <t>Wellness&amp;Medicine</t>
  </si>
  <si>
    <t>Media</t>
  </si>
  <si>
    <t>Fun &amp; Vacation</t>
  </si>
  <si>
    <t>MISC</t>
  </si>
  <si>
    <t>Coorg Trip Fund</t>
  </si>
  <si>
    <t>Mcleodganj Trip Fund</t>
  </si>
  <si>
    <t>Sri Lanka Trip Fund</t>
  </si>
  <si>
    <t>Vietnam Trip Fund</t>
  </si>
  <si>
    <t>Budget Tracking</t>
  </si>
  <si>
    <t>Date</t>
  </si>
  <si>
    <t>Type</t>
  </si>
  <si>
    <t>Categories</t>
  </si>
  <si>
    <t>Amount</t>
  </si>
  <si>
    <t>Details</t>
  </si>
  <si>
    <t>Expenses</t>
  </si>
  <si>
    <t>Savings</t>
  </si>
  <si>
    <t>Net Salary received</t>
  </si>
  <si>
    <t>Balance</t>
  </si>
  <si>
    <t>Calculations</t>
  </si>
  <si>
    <t>Today:</t>
  </si>
  <si>
    <t>Last Record:</t>
  </si>
  <si>
    <t>Delta Last Record:</t>
  </si>
  <si>
    <t># Records:</t>
  </si>
  <si>
    <t># Records this year:</t>
  </si>
  <si>
    <t>Tracking Balance:</t>
  </si>
  <si>
    <t>Balance Analysis Text:</t>
  </si>
  <si>
    <t xml:space="preserve"> </t>
  </si>
  <si>
    <t>Budget Dashboard</t>
  </si>
  <si>
    <t>Year</t>
  </si>
  <si>
    <t>Select the year to view ➜</t>
  </si>
  <si>
    <t>Period</t>
  </si>
  <si>
    <t>Select the period to view ➜</t>
  </si>
  <si>
    <t>Dropdown Data</t>
  </si>
  <si>
    <t>Year Dropdown</t>
  </si>
  <si>
    <t>Current Year</t>
  </si>
  <si>
    <t>Period Dropdown</t>
  </si>
  <si>
    <t>Total Year</t>
  </si>
  <si>
    <t>Current Month</t>
  </si>
  <si>
    <t>Worksheet : Budget Tracking</t>
  </si>
  <si>
    <t>Worksheet Budget Dashboard</t>
  </si>
  <si>
    <t>Selected Year:</t>
  </si>
  <si>
    <t>Selected Period:</t>
  </si>
  <si>
    <t>Selected Period (Display):</t>
  </si>
  <si>
    <t>row_id</t>
  </si>
  <si>
    <t>header_row_id</t>
  </si>
  <si>
    <t>is_header</t>
  </si>
  <si>
    <t>is_cat</t>
  </si>
  <si>
    <t>is_total</t>
  </si>
  <si>
    <t>is_empty</t>
  </si>
  <si>
    <t>type</t>
  </si>
  <si>
    <t>item</t>
  </si>
  <si>
    <t>tracked</t>
  </si>
  <si>
    <t>budget</t>
  </si>
  <si>
    <t>Other Income</t>
  </si>
  <si>
    <t>sort_min_row</t>
  </si>
  <si>
    <t>sort_max_row</t>
  </si>
  <si>
    <t>tracked_range</t>
  </si>
  <si>
    <t>tracked_rank</t>
  </si>
  <si>
    <t>budget_range</t>
  </si>
  <si>
    <t>budget_rank</t>
  </si>
  <si>
    <t>comb_rank</t>
  </si>
  <si>
    <t>comb_rank_range</t>
  </si>
  <si>
    <t>comb_rank_norm</t>
  </si>
  <si>
    <t>comb_rank_norm_run_range</t>
  </si>
  <si>
    <t>comb_rank_unique</t>
  </si>
  <si>
    <t>sorted_row_id[Lookup]</t>
  </si>
  <si>
    <r>
      <rPr>
        <b/>
        <sz val="11"/>
        <color theme="4"/>
        <rFont val="Aptos Narrow"/>
        <family val="2"/>
        <scheme val="minor"/>
      </rPr>
      <t>Chart Calculations:</t>
    </r>
    <r>
      <rPr>
        <sz val="11"/>
        <color theme="4"/>
        <rFont val="Aptos Narrow"/>
        <family val="2"/>
        <scheme val="minor"/>
      </rPr>
      <t xml:space="preserve"> Category Distribution Charts</t>
    </r>
  </si>
  <si>
    <t>Category</t>
  </si>
  <si>
    <r>
      <rPr>
        <b/>
        <sz val="11"/>
        <color theme="4"/>
        <rFont val="Aptos Narrow"/>
        <family val="2"/>
        <scheme val="minor"/>
      </rPr>
      <t>Chart Calculations:</t>
    </r>
    <r>
      <rPr>
        <sz val="11"/>
        <color theme="4"/>
        <rFont val="Aptos Narrow"/>
        <family val="2"/>
        <scheme val="minor"/>
      </rPr>
      <t xml:space="preserve"> Tracked (vs. Budget) Chart</t>
    </r>
  </si>
  <si>
    <t>Month</t>
  </si>
  <si>
    <t>Month.Num</t>
  </si>
  <si>
    <t>In Focus</t>
  </si>
  <si>
    <t>Show Type</t>
  </si>
  <si>
    <t>Show Rem. Budget</t>
  </si>
  <si>
    <t>Tracked</t>
  </si>
  <si>
    <t>Budget</t>
  </si>
  <si>
    <t>Delta</t>
  </si>
  <si>
    <t>Period in Focus</t>
  </si>
  <si>
    <t>In Budget</t>
  </si>
  <si>
    <t>Remaining</t>
  </si>
  <si>
    <t>Excess</t>
  </si>
  <si>
    <t>Period not in Focus</t>
  </si>
  <si>
    <t>Show Income:</t>
  </si>
  <si>
    <t>Show Expenses:</t>
  </si>
  <si>
    <t>Show Savings:</t>
  </si>
  <si>
    <t>Show Remaining Budget:</t>
  </si>
  <si>
    <t>Days In Period:</t>
  </si>
  <si>
    <t>Days passed in Period:</t>
  </si>
  <si>
    <t>Days passed in Period%:</t>
  </si>
  <si>
    <t>Period Tracking Balance:</t>
  </si>
  <si>
    <t>Period Savings Rate:</t>
  </si>
  <si>
    <t>KPI Calculation in Dashboard</t>
  </si>
  <si>
    <t>Budget Tracking &amp; Dashboard</t>
  </si>
  <si>
    <t>Savings Rate as % of Income:</t>
  </si>
  <si>
    <t>% allocated to Savings</t>
  </si>
  <si>
    <t>Choose how you want the savings rate (SR) to be calculated in the dashboard KPI tiles:</t>
  </si>
  <si>
    <t>2) Passive Option (% not allocated to Expenses):                           SR= (Income - Expenses) / Income</t>
  </si>
  <si>
    <t>1) Active Option (% allocated to Savings):                                            SR  = Savings /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</si>
</sst>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 * #,##0.00_ ;_ * \-#,##0.00_ ;_ * &quot;-&quot;??_ ;_ @_ "/>
    <numFmt numFmtId="164" formatCode="mmm"/>
    <numFmt numFmtId="165" formatCode="_ &quot;₹&quot;\ * #,##0_ ;_ &quot;₹&quot;\ * \-#,##0_ ;_ &quot;₹&quot;\ * &quot;-&quot;??_ ;_ @_ "/>
    <numFmt numFmtId="166" formatCode="d/mmm/yy"/>
    <numFmt numFmtId="167" formatCode="_ * #,##0_ ;_ * \-#,##0_ ;_ * &quot;-&quot;??_ ;_ @_ "/>
    <numFmt numFmtId="168" formatCode="mmmm"/>
    <numFmt numFmtId="169" formatCode="0.0%"/>
  </numFmts>
  <fonts count="3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8"/>
      <color theme="0"/>
      <name val="Aharoni"/>
      <charset val="177"/>
    </font>
    <font>
      <b/>
      <sz val="10"/>
      <color theme="0"/>
      <name val="Aptos Narrow"/>
      <family val="2"/>
      <scheme val="minor"/>
    </font>
    <font>
      <i/>
      <sz val="9"/>
      <color theme="0" tint="-0.499984740745262"/>
      <name val="Aptos Narrow"/>
      <family val="2"/>
      <scheme val="minor"/>
    </font>
    <font>
      <b/>
      <sz val="9"/>
      <color theme="0" tint="-0.499984740745262"/>
      <name val="Aptos Narrow"/>
      <family val="2"/>
      <scheme val="minor"/>
    </font>
    <font>
      <b/>
      <sz val="9"/>
      <color theme="0" tint="-0.499984740745262"/>
      <name val="Aptos Narrow"/>
      <family val="2"/>
    </font>
    <font>
      <b/>
      <sz val="10"/>
      <color theme="0"/>
      <name val="Calibri"/>
      <family val="2"/>
    </font>
    <font>
      <b/>
      <sz val="11"/>
      <color theme="0"/>
      <name val="Calibri"/>
      <family val="2"/>
    </font>
    <font>
      <b/>
      <sz val="20"/>
      <color theme="2"/>
      <name val="Calibri"/>
      <family val="2"/>
    </font>
    <font>
      <sz val="10"/>
      <color theme="0" tint="-0.249977111117893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b/>
      <sz val="11"/>
      <color theme="0" tint="-0.249977111117893"/>
      <name val="Aptos Narrow"/>
      <family val="2"/>
      <scheme val="minor"/>
    </font>
    <font>
      <i/>
      <sz val="11"/>
      <color theme="1"/>
      <name val="Calibri"/>
      <family val="2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20"/>
      <color theme="0"/>
      <name val="Calibri"/>
      <family val="2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0" tint="-0.499984740745262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b/>
      <sz val="20"/>
      <color theme="3"/>
      <name val="Calibri"/>
      <family val="2"/>
    </font>
    <font>
      <sz val="11"/>
      <color theme="3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sz val="10"/>
      <color theme="0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b/>
      <sz val="11"/>
      <color theme="2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0.5"/>
      <color theme="1"/>
      <name val="Aptos Narrow"/>
      <family val="2"/>
      <scheme val="minor"/>
    </font>
    <font>
      <sz val="11"/>
      <color theme="4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sz val="8"/>
      <name val="Aptos Narrow"/>
      <family val="2"/>
      <scheme val="minor"/>
    </font>
    <font>
      <sz val="8"/>
      <color rgb="FF000000"/>
      <name val="Segoe UI"/>
      <family val="2"/>
    </font>
    <font>
      <i/>
      <sz val="9"/>
      <color rgb="FF80808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26">
    <border>
      <left/>
      <right/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indexed="64"/>
      </bottom>
      <diagonal/>
    </border>
    <border>
      <left/>
      <right/>
      <top style="dashed">
        <color auto="1"/>
      </top>
      <bottom style="double">
        <color auto="1"/>
      </bottom>
      <diagonal/>
    </border>
    <border>
      <left/>
      <right/>
      <top style="dashed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/>
      <right style="thin">
        <color theme="0" tint="-0.14993743705557422"/>
      </right>
      <top/>
      <bottom style="thin">
        <color theme="0" tint="-0.14996795556505021"/>
      </bottom>
      <diagonal/>
    </border>
  </borders>
  <cellStyleXfs count="3">
    <xf numFmtId="0" fontId="0" fillId="0" borderId="0"/>
    <xf numFmtId="43" fontId="20" fillId="0" borderId="0" applyFont="0" applyFill="0" applyBorder="0" applyAlignment="0" applyProtection="0"/>
    <xf numFmtId="9" fontId="20" fillId="0" borderId="0" applyFont="0" applyFill="0" applyBorder="0" applyAlignment="0" applyProtection="0"/>
  </cellStyleXfs>
  <cellXfs count="12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 applyAlignment="1">
      <alignment horizontal="left" vertical="center"/>
    </xf>
    <xf numFmtId="0" fontId="2" fillId="0" borderId="0" xfId="0" applyFont="1"/>
    <xf numFmtId="0" fontId="4" fillId="3" borderId="0" xfId="0" applyFont="1" applyFill="1" applyAlignment="1">
      <alignment horizontal="center"/>
    </xf>
    <xf numFmtId="0" fontId="5" fillId="0" borderId="0" xfId="0" applyFont="1"/>
    <xf numFmtId="0" fontId="0" fillId="0" borderId="0" xfId="0" applyAlignment="1">
      <alignment horizontal="left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indent="1"/>
    </xf>
    <xf numFmtId="0" fontId="2" fillId="0" borderId="6" xfId="0" applyFont="1" applyBorder="1" applyAlignment="1">
      <alignment horizontal="left" vertical="center" indent="1"/>
    </xf>
    <xf numFmtId="164" fontId="8" fillId="4" borderId="0" xfId="0" applyNumberFormat="1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11" fillId="0" borderId="0" xfId="0" applyFont="1" applyAlignment="1">
      <alignment horizontal="left" indent="1"/>
    </xf>
    <xf numFmtId="165" fontId="12" fillId="0" borderId="7" xfId="0" applyNumberFormat="1" applyFont="1" applyBorder="1" applyAlignment="1">
      <alignment horizontal="center" vertical="center"/>
    </xf>
    <xf numFmtId="165" fontId="2" fillId="0" borderId="7" xfId="0" applyNumberFormat="1" applyFont="1" applyBorder="1" applyAlignment="1">
      <alignment horizontal="center" vertical="center"/>
    </xf>
    <xf numFmtId="165" fontId="13" fillId="0" borderId="7" xfId="0" applyNumberFormat="1" applyFont="1" applyBorder="1" applyAlignment="1">
      <alignment horizontal="center" vertical="center"/>
    </xf>
    <xf numFmtId="164" fontId="8" fillId="5" borderId="0" xfId="0" applyNumberFormat="1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164" fontId="8" fillId="6" borderId="0" xfId="0" applyNumberFormat="1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14" fillId="0" borderId="0" xfId="0" applyFont="1" applyAlignment="1">
      <alignment horizontal="right" vertical="center"/>
    </xf>
    <xf numFmtId="165" fontId="15" fillId="0" borderId="6" xfId="0" applyNumberFormat="1" applyFont="1" applyBorder="1"/>
    <xf numFmtId="165" fontId="16" fillId="0" borderId="6" xfId="0" applyNumberFormat="1" applyFont="1" applyBorder="1"/>
    <xf numFmtId="0" fontId="17" fillId="0" borderId="6" xfId="0" applyFont="1" applyBorder="1" applyAlignment="1">
      <alignment horizontal="center" vertical="center"/>
    </xf>
    <xf numFmtId="0" fontId="0" fillId="0" borderId="0" xfId="0" applyAlignment="1">
      <alignment horizontal="left" vertical="center" indent="1"/>
    </xf>
    <xf numFmtId="167" fontId="19" fillId="0" borderId="0" xfId="1" applyNumberFormat="1" applyFont="1" applyAlignment="1">
      <alignment horizontal="left" vertical="center" indent="1"/>
    </xf>
    <xf numFmtId="166" fontId="0" fillId="0" borderId="0" xfId="0" applyNumberFormat="1"/>
    <xf numFmtId="0" fontId="0" fillId="0" borderId="0" xfId="0" applyAlignment="1">
      <alignment horizontal="right" vertical="center"/>
    </xf>
    <xf numFmtId="167" fontId="0" fillId="0" borderId="0" xfId="1" applyNumberFormat="1" applyFont="1"/>
    <xf numFmtId="0" fontId="29" fillId="2" borderId="0" xfId="0" applyFont="1" applyFill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168" fontId="19" fillId="0" borderId="14" xfId="0" applyNumberFormat="1" applyFont="1" applyBorder="1" applyAlignment="1">
      <alignment horizontal="center" vertical="center"/>
    </xf>
    <xf numFmtId="168" fontId="19" fillId="0" borderId="13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30" fillId="9" borderId="0" xfId="0" applyFont="1" applyFill="1" applyAlignment="1">
      <alignment horizontal="center" vertical="center"/>
    </xf>
    <xf numFmtId="0" fontId="30" fillId="9" borderId="1" xfId="0" applyFont="1" applyFill="1" applyBorder="1" applyAlignment="1">
      <alignment horizontal="center" vertical="center"/>
    </xf>
    <xf numFmtId="0" fontId="30" fillId="9" borderId="2" xfId="0" applyFont="1" applyFill="1" applyBorder="1" applyAlignment="1">
      <alignment horizontal="center" vertical="center"/>
    </xf>
    <xf numFmtId="165" fontId="0" fillId="0" borderId="0" xfId="0" applyNumberFormat="1"/>
    <xf numFmtId="0" fontId="0" fillId="0" borderId="0" xfId="0" applyAlignment="1">
      <alignment horizontal="center" vertical="center"/>
    </xf>
    <xf numFmtId="166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65" fontId="19" fillId="0" borderId="0" xfId="1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165" fontId="30" fillId="9" borderId="0" xfId="0" applyNumberFormat="1" applyFont="1" applyFill="1" applyAlignment="1">
      <alignment horizontal="center" vertical="center"/>
    </xf>
    <xf numFmtId="165" fontId="30" fillId="9" borderId="2" xfId="0" applyNumberFormat="1" applyFont="1" applyFill="1" applyBorder="1" applyAlignment="1">
      <alignment horizontal="center" vertical="center"/>
    </xf>
    <xf numFmtId="165" fontId="0" fillId="0" borderId="2" xfId="0" applyNumberFormat="1" applyBorder="1"/>
    <xf numFmtId="0" fontId="30" fillId="9" borderId="12" xfId="0" applyFont="1" applyFill="1" applyBorder="1" applyAlignment="1">
      <alignment horizontal="center" vertical="center"/>
    </xf>
    <xf numFmtId="0" fontId="0" fillId="0" borderId="12" xfId="0" applyBorder="1"/>
    <xf numFmtId="0" fontId="31" fillId="0" borderId="0" xfId="0" applyFont="1" applyAlignment="1">
      <alignment vertical="center"/>
    </xf>
    <xf numFmtId="0" fontId="31" fillId="0" borderId="0" xfId="0" applyFont="1" applyAlignment="1">
      <alignment horizontal="center" vertical="center"/>
    </xf>
    <xf numFmtId="9" fontId="31" fillId="0" borderId="0" xfId="2" applyFont="1" applyAlignment="1">
      <alignment horizontal="center" vertical="center"/>
    </xf>
    <xf numFmtId="165" fontId="31" fillId="0" borderId="0" xfId="0" applyNumberFormat="1" applyFont="1" applyAlignment="1">
      <alignment horizontal="center" vertical="center"/>
    </xf>
    <xf numFmtId="0" fontId="0" fillId="0" borderId="15" xfId="0" applyBorder="1"/>
    <xf numFmtId="0" fontId="0" fillId="0" borderId="10" xfId="0" applyBorder="1"/>
    <xf numFmtId="0" fontId="0" fillId="0" borderId="16" xfId="0" applyBorder="1"/>
    <xf numFmtId="0" fontId="0" fillId="0" borderId="5" xfId="0" applyBorder="1"/>
    <xf numFmtId="0" fontId="0" fillId="0" borderId="17" xfId="0" applyBorder="1"/>
    <xf numFmtId="0" fontId="32" fillId="0" borderId="17" xfId="0" applyFont="1" applyBorder="1"/>
    <xf numFmtId="0" fontId="2" fillId="0" borderId="18" xfId="0" applyFont="1" applyBorder="1" applyAlignment="1">
      <alignment horizontal="center"/>
    </xf>
    <xf numFmtId="0" fontId="0" fillId="0" borderId="19" xfId="0" applyBorder="1" applyAlignment="1">
      <alignment horizontal="center"/>
    </xf>
    <xf numFmtId="167" fontId="0" fillId="0" borderId="0" xfId="1" applyNumberFormat="1" applyFont="1" applyAlignment="1">
      <alignment horizontal="center"/>
    </xf>
    <xf numFmtId="167" fontId="0" fillId="0" borderId="19" xfId="1" applyNumberFormat="1" applyFont="1" applyBorder="1" applyAlignment="1">
      <alignment horizontal="center"/>
    </xf>
    <xf numFmtId="0" fontId="15" fillId="0" borderId="0" xfId="0" applyFont="1" applyAlignment="1">
      <alignment horizontal="left" indent="1"/>
    </xf>
    <xf numFmtId="165" fontId="15" fillId="0" borderId="0" xfId="0" applyNumberFormat="1" applyFont="1"/>
    <xf numFmtId="0" fontId="16" fillId="0" borderId="20" xfId="0" applyFont="1" applyBorder="1" applyAlignment="1">
      <alignment horizontal="left" indent="1"/>
    </xf>
    <xf numFmtId="165" fontId="16" fillId="0" borderId="20" xfId="0" applyNumberFormat="1" applyFont="1" applyBorder="1"/>
    <xf numFmtId="164" fontId="0" fillId="0" borderId="21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17" fillId="0" borderId="0" xfId="0" applyFont="1"/>
    <xf numFmtId="0" fontId="19" fillId="0" borderId="0" xfId="0" applyFont="1"/>
    <xf numFmtId="165" fontId="0" fillId="0" borderId="18" xfId="0" applyNumberFormat="1" applyBorder="1" applyAlignment="1">
      <alignment horizontal="center" vertical="center"/>
    </xf>
    <xf numFmtId="0" fontId="0" fillId="0" borderId="4" xfId="0" applyBorder="1" applyAlignment="1">
      <alignment horizontal="right"/>
    </xf>
    <xf numFmtId="9" fontId="0" fillId="0" borderId="0" xfId="2" applyFont="1"/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169" fontId="0" fillId="0" borderId="0" xfId="2" applyNumberFormat="1" applyFont="1"/>
    <xf numFmtId="0" fontId="36" fillId="0" borderId="0" xfId="0" applyFont="1"/>
    <xf numFmtId="0" fontId="0" fillId="0" borderId="22" xfId="0" applyBorder="1"/>
    <xf numFmtId="0" fontId="36" fillId="0" borderId="22" xfId="0" applyFont="1" applyBorder="1"/>
    <xf numFmtId="0" fontId="0" fillId="0" borderId="23" xfId="0" applyBorder="1"/>
    <xf numFmtId="0" fontId="0" fillId="0" borderId="24" xfId="0" applyBorder="1"/>
    <xf numFmtId="0" fontId="36" fillId="0" borderId="0" xfId="0" applyFont="1" applyAlignment="1">
      <alignment horizontal="right"/>
    </xf>
    <xf numFmtId="0" fontId="0" fillId="0" borderId="25" xfId="0" applyBorder="1"/>
    <xf numFmtId="0" fontId="26" fillId="2" borderId="0" xfId="0" applyFont="1" applyFill="1" applyAlignment="1">
      <alignment horizontal="left" vertical="center" indent="7"/>
    </xf>
    <xf numFmtId="0" fontId="21" fillId="2" borderId="0" xfId="0" applyFont="1" applyFill="1" applyAlignment="1">
      <alignment horizontal="left" vertical="center" indent="7"/>
    </xf>
    <xf numFmtId="0" fontId="0" fillId="2" borderId="0" xfId="0" applyFill="1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17" fillId="10" borderId="8" xfId="0" applyFont="1" applyFill="1" applyBorder="1" applyAlignment="1">
      <alignment horizontal="center" vertical="center"/>
    </xf>
    <xf numFmtId="0" fontId="27" fillId="10" borderId="9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indent="5"/>
    </xf>
    <xf numFmtId="0" fontId="28" fillId="0" borderId="0" xfId="0" applyFont="1" applyAlignment="1">
      <alignment horizontal="left" vertical="center" indent="5"/>
    </xf>
    <xf numFmtId="168" fontId="19" fillId="8" borderId="10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/>
    </xf>
    <xf numFmtId="0" fontId="10" fillId="2" borderId="0" xfId="0" applyFont="1" applyFill="1" applyAlignment="1">
      <alignment horizontal="left" vertical="center" indent="7"/>
    </xf>
    <xf numFmtId="0" fontId="10" fillId="2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left" vertical="center" indent="14"/>
    </xf>
    <xf numFmtId="0" fontId="0" fillId="2" borderId="0" xfId="0" applyFill="1" applyAlignment="1">
      <alignment horizontal="left" vertical="center" indent="14"/>
    </xf>
    <xf numFmtId="164" fontId="0" fillId="0" borderId="21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18" xfId="0" applyNumberFormat="1" applyBorder="1" applyAlignment="1">
      <alignment horizontal="center" vertical="center"/>
    </xf>
    <xf numFmtId="0" fontId="24" fillId="7" borderId="0" xfId="0" applyFont="1" applyFill="1" applyAlignment="1">
      <alignment horizontal="left" vertical="center" indent="7"/>
    </xf>
    <xf numFmtId="0" fontId="25" fillId="7" borderId="0" xfId="0" applyFont="1" applyFill="1" applyAlignment="1">
      <alignment horizontal="left" vertical="center" indent="7"/>
    </xf>
    <xf numFmtId="0" fontId="23" fillId="2" borderId="0" xfId="0" applyFont="1" applyFill="1" applyAlignment="1">
      <alignment horizontal="left" vertical="center" indent="1"/>
    </xf>
    <xf numFmtId="0" fontId="21" fillId="2" borderId="0" xfId="0" applyFont="1" applyFill="1" applyAlignment="1">
      <alignment horizontal="left" vertical="center" indent="1"/>
    </xf>
    <xf numFmtId="0" fontId="2" fillId="11" borderId="0" xfId="0" applyFont="1" applyFill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119">
    <dxf>
      <fill>
        <patternFill>
          <bgColor theme="7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7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-0.49998474074526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8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-0.49998474074526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49998474074526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6" tint="0.59996337778862885"/>
        </patternFill>
      </fill>
    </dxf>
    <dxf>
      <font>
        <b/>
        <i val="0"/>
      </font>
      <border>
        <top style="thin">
          <color auto="1"/>
        </top>
        <vertical/>
        <horizontal/>
      </border>
    </dxf>
    <dxf>
      <font>
        <b val="0"/>
        <i val="0"/>
        <color theme="0"/>
      </font>
      <fill>
        <patternFill>
          <bgColor theme="7"/>
        </patternFill>
      </fill>
    </dxf>
    <dxf>
      <font>
        <b val="0"/>
        <i val="0"/>
        <color theme="0"/>
      </font>
      <fill>
        <patternFill>
          <bgColor rgb="FFFF0000"/>
        </patternFill>
      </fill>
    </dxf>
    <dxf>
      <font>
        <b val="0"/>
        <i val="0"/>
        <color theme="0"/>
      </font>
      <fill>
        <patternFill>
          <bgColor rgb="FF00B050"/>
        </patternFill>
      </fill>
    </dxf>
    <dxf>
      <font>
        <b/>
        <i val="0"/>
        <color theme="6" tint="0.39991454817346722"/>
      </font>
    </dxf>
    <dxf>
      <font>
        <color rgb="FFFF0000"/>
      </font>
    </dxf>
    <dxf>
      <font>
        <color rgb="FF000000"/>
      </font>
      <fill>
        <patternFill>
          <bgColor theme="4" tint="0.79998168889431442"/>
        </patternFill>
      </fill>
    </dxf>
    <dxf>
      <font>
        <color rgb="FF000000"/>
      </font>
      <fill>
        <patternFill>
          <bgColor theme="8" tint="0.79998168889431442"/>
        </patternFill>
      </fill>
    </dxf>
    <dxf>
      <font>
        <color rgb="FF000000"/>
      </font>
      <fill>
        <patternFill>
          <bgColor theme="6" tint="0.79998168889431442"/>
        </patternFill>
      </fill>
    </dxf>
    <dxf>
      <font>
        <color theme="6" tint="0.39994506668294322"/>
      </font>
    </dxf>
    <dxf>
      <font>
        <color rgb="FFFF0000"/>
      </font>
    </dxf>
    <dxf>
      <font>
        <color theme="0" tint="-0.24994659260841701"/>
      </font>
    </dxf>
    <dxf>
      <font>
        <color rgb="FF000000"/>
      </font>
      <fill>
        <patternFill>
          <bgColor theme="4" tint="0.79998168889431442"/>
        </patternFill>
      </fill>
    </dxf>
    <dxf>
      <font>
        <color rgb="FF000000"/>
      </font>
      <fill>
        <patternFill>
          <bgColor theme="8" tint="0.79998168889431442"/>
        </patternFill>
      </fill>
    </dxf>
    <dxf>
      <font>
        <color rgb="FF000000"/>
      </font>
      <fill>
        <patternFill>
          <bgColor theme="6" tint="0.79998168889431442"/>
        </patternFill>
      </fill>
    </dxf>
    <dxf>
      <font>
        <color theme="0" tint="-0.24994659260841701"/>
      </font>
    </dxf>
    <dxf>
      <font>
        <color rgb="FFFF0000"/>
      </font>
    </dxf>
    <dxf>
      <font>
        <color theme="6" tint="0.39994506668294322"/>
      </font>
    </dxf>
    <dxf>
      <font>
        <color rgb="FF000000"/>
      </font>
      <fill>
        <patternFill>
          <bgColor theme="4" tint="0.79998168889431442"/>
        </patternFill>
      </fill>
    </dxf>
    <dxf>
      <font>
        <color rgb="FF000000"/>
      </font>
      <fill>
        <patternFill>
          <bgColor theme="8" tint="0.79998168889431442"/>
        </patternFill>
      </fill>
    </dxf>
    <dxf>
      <font>
        <color rgb="FF000000"/>
      </font>
      <fill>
        <patternFill>
          <bgColor theme="6" tint="0.79998168889431442"/>
        </patternFill>
      </fill>
    </dxf>
    <dxf>
      <font>
        <color theme="0" tint="-0.24994659260841701"/>
      </font>
    </dxf>
    <dxf>
      <font>
        <color theme="6" tint="0.39994506668294322"/>
      </font>
    </dxf>
    <dxf>
      <font>
        <color rgb="FFFF0000"/>
      </font>
    </dxf>
    <dxf>
      <font>
        <color rgb="FF000000"/>
      </font>
      <fill>
        <patternFill>
          <bgColor theme="4" tint="0.79998168889431442"/>
        </patternFill>
      </fill>
    </dxf>
    <dxf>
      <font>
        <color rgb="FF000000"/>
      </font>
      <fill>
        <patternFill>
          <bgColor theme="8" tint="0.79998168889431442"/>
        </patternFill>
      </fill>
    </dxf>
    <dxf>
      <font>
        <color rgb="FF000000"/>
      </font>
      <fill>
        <patternFill>
          <bgColor theme="6" tint="0.79998168889431442"/>
        </patternFill>
      </fill>
    </dxf>
    <dxf>
      <font>
        <color theme="0" tint="-0.24994659260841701"/>
      </font>
    </dxf>
    <dxf>
      <font>
        <color theme="6" tint="0.39994506668294322"/>
      </font>
    </dxf>
    <dxf>
      <font>
        <color rgb="FFFF0000"/>
      </font>
    </dxf>
    <dxf>
      <font>
        <color rgb="FF000000"/>
      </font>
      <fill>
        <patternFill>
          <bgColor theme="4" tint="0.79998168889431442"/>
        </patternFill>
      </fill>
    </dxf>
    <dxf>
      <font>
        <color rgb="FF000000"/>
      </font>
      <fill>
        <patternFill>
          <bgColor theme="8" tint="0.79998168889431442"/>
        </patternFill>
      </fill>
    </dxf>
    <dxf>
      <font>
        <color rgb="FF000000"/>
      </font>
      <fill>
        <patternFill>
          <bgColor theme="6" tint="0.79998168889431442"/>
        </patternFill>
      </fill>
    </dxf>
    <dxf>
      <font>
        <color theme="6" tint="0.39994506668294322"/>
      </font>
    </dxf>
    <dxf>
      <font>
        <color theme="0" tint="-0.24994659260841701"/>
      </font>
    </dxf>
    <dxf>
      <font>
        <color rgb="FFFF0000"/>
      </font>
    </dxf>
    <dxf>
      <font>
        <color rgb="FF000000"/>
      </font>
      <fill>
        <patternFill>
          <bgColor theme="4" tint="0.79998168889431442"/>
        </patternFill>
      </fill>
    </dxf>
    <dxf>
      <font>
        <color rgb="FF000000"/>
      </font>
      <fill>
        <patternFill>
          <bgColor theme="8" tint="0.79998168889431442"/>
        </patternFill>
      </fill>
    </dxf>
    <dxf>
      <font>
        <color rgb="FF000000"/>
      </font>
      <fill>
        <patternFill>
          <bgColor theme="6" tint="0.79998168889431442"/>
        </patternFill>
      </fill>
    </dxf>
    <dxf>
      <font>
        <color rgb="FFFF0000"/>
      </font>
    </dxf>
    <dxf>
      <font>
        <color theme="6" tint="0.39994506668294322"/>
      </font>
    </dxf>
    <dxf>
      <font>
        <color theme="0" tint="-0.24994659260841701"/>
      </font>
    </dxf>
    <dxf>
      <font>
        <color rgb="FF000000"/>
      </font>
      <fill>
        <patternFill>
          <bgColor theme="4" tint="0.79998168889431442"/>
        </patternFill>
      </fill>
    </dxf>
    <dxf>
      <font>
        <color rgb="FF000000"/>
      </font>
      <fill>
        <patternFill>
          <bgColor theme="8" tint="0.79998168889431442"/>
        </patternFill>
      </fill>
    </dxf>
    <dxf>
      <font>
        <color rgb="FF000000"/>
      </font>
      <fill>
        <patternFill>
          <bgColor theme="6" tint="0.79998168889431442"/>
        </patternFill>
      </fill>
    </dxf>
    <dxf>
      <font>
        <color theme="0" tint="-0.24994659260841701"/>
      </font>
    </dxf>
    <dxf>
      <font>
        <color theme="6" tint="0.39994506668294322"/>
      </font>
    </dxf>
    <dxf>
      <font>
        <color rgb="FFFF0000"/>
      </font>
    </dxf>
    <dxf>
      <font>
        <color rgb="FF000000"/>
      </font>
      <fill>
        <patternFill>
          <bgColor theme="4" tint="0.79998168889431442"/>
        </patternFill>
      </fill>
    </dxf>
    <dxf>
      <font>
        <color rgb="FF000000"/>
      </font>
      <fill>
        <patternFill>
          <bgColor theme="8" tint="0.79998168889431442"/>
        </patternFill>
      </fill>
    </dxf>
    <dxf>
      <font>
        <color rgb="FF000000"/>
      </font>
      <fill>
        <patternFill>
          <bgColor theme="6" tint="0.79998168889431442"/>
        </patternFill>
      </fill>
    </dxf>
    <dxf>
      <font>
        <color theme="0" tint="-0.24994659260841701"/>
      </font>
    </dxf>
    <dxf>
      <font>
        <color theme="6" tint="0.39994506668294322"/>
      </font>
    </dxf>
    <dxf>
      <font>
        <color rgb="FFFF0000"/>
      </font>
    </dxf>
    <dxf>
      <font>
        <color rgb="FF000000"/>
      </font>
      <fill>
        <patternFill>
          <bgColor theme="4" tint="0.79998168889431442"/>
        </patternFill>
      </fill>
    </dxf>
    <dxf>
      <font>
        <color rgb="FF000000"/>
      </font>
      <fill>
        <patternFill>
          <bgColor theme="8" tint="0.79998168889431442"/>
        </patternFill>
      </fill>
    </dxf>
    <dxf>
      <font>
        <color rgb="FF000000"/>
      </font>
      <fill>
        <patternFill>
          <bgColor theme="6" tint="0.79998168889431442"/>
        </patternFill>
      </fill>
    </dxf>
    <dxf>
      <font>
        <color theme="6" tint="0.39994506668294322"/>
      </font>
    </dxf>
    <dxf>
      <font>
        <color theme="0" tint="-0.24994659260841701"/>
      </font>
    </dxf>
    <dxf>
      <font>
        <color rgb="FFFF0000"/>
      </font>
    </dxf>
    <dxf>
      <font>
        <color rgb="FF000000"/>
      </font>
      <fill>
        <patternFill>
          <bgColor theme="4" tint="0.79998168889431442"/>
        </patternFill>
      </fill>
    </dxf>
    <dxf>
      <font>
        <color rgb="FF000000"/>
      </font>
      <fill>
        <patternFill>
          <bgColor theme="8" tint="0.79998168889431442"/>
        </patternFill>
      </fill>
    </dxf>
    <dxf>
      <font>
        <color rgb="FF000000"/>
      </font>
      <fill>
        <patternFill>
          <bgColor theme="6" tint="0.79998168889431442"/>
        </patternFill>
      </fill>
    </dxf>
    <dxf>
      <font>
        <color theme="0" tint="-0.24994659260841701"/>
      </font>
    </dxf>
    <dxf>
      <font>
        <color theme="6" tint="0.39994506668294322"/>
      </font>
    </dxf>
    <dxf>
      <font>
        <color rgb="FFFF0000"/>
      </font>
    </dxf>
    <dxf>
      <font>
        <color theme="0" tint="-0.24994659260841701"/>
      </font>
    </dxf>
    <dxf>
      <font>
        <color theme="6" tint="0.39994506668294322"/>
      </font>
    </dxf>
    <dxf>
      <font>
        <color rgb="FFFF0000"/>
      </font>
    </dxf>
    <dxf>
      <font>
        <color rgb="FF000000"/>
      </font>
      <fill>
        <patternFill>
          <bgColor theme="4" tint="0.79998168889431442"/>
        </patternFill>
      </fill>
    </dxf>
    <dxf>
      <font>
        <color rgb="FF000000"/>
      </font>
      <fill>
        <patternFill>
          <bgColor theme="8" tint="0.79998168889431442"/>
        </patternFill>
      </fill>
    </dxf>
    <dxf>
      <font>
        <color rgb="FF000000"/>
      </font>
      <fill>
        <patternFill>
          <bgColor theme="6" tint="0.79998168889431442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7" formatCode="_ * #,##0_ ;_ * \-#,##0_ ;_ * &quot;-&quot;??_ ;_ @_ "/>
      <alignment horizontal="left" vertical="center" textRotation="0" wrapText="0" relative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0" tint="-0.499984740745262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5" formatCode="_ &quot;₹&quot;\ * #,##0_ ;_ &quot;₹&quot;\ * \-#,##0_ ;_ &quot;₹&quot;\ * &quot;-&quot;??_ ;_ @_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6" formatCode="d/mmm/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center" textRotation="0" wrapText="0" relativeIndent="1" justifyLastLine="0" shrinkToFit="0" readingOrder="0"/>
    </dxf>
    <dxf>
      <alignment horizontal="left" vertical="center" textRotation="0" wrapText="0" relative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 tint="-0.249977111117893"/>
        <name val="Aptos Narrow"/>
        <family val="2"/>
        <scheme val="minor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 tint="-0.249977111117893"/>
        <name val="Aptos Narrow"/>
        <family val="2"/>
        <scheme val="minor"/>
      </font>
      <alignment horizontal="left" vertical="bottom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 tint="-0.249977111117893"/>
        <name val="Aptos Narrow"/>
        <family val="2"/>
        <scheme val="minor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 tint="-0.249977111117893"/>
        <name val="Aptos Narrow"/>
        <family val="2"/>
        <scheme val="minor"/>
      </font>
      <alignment horizontal="left" vertical="bottom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 tint="-0.249977111117893"/>
        <name val="Aptos Narrow"/>
        <family val="2"/>
        <scheme val="minor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 tint="-0.249977111117893"/>
        <name val="Aptos Narrow"/>
        <family val="2"/>
        <scheme val="minor"/>
      </font>
      <alignment horizontal="left" vertical="bottom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1" justifyLastLine="0" shrinkToFit="0" readingOrder="0"/>
    </dxf>
    <dxf>
      <fill>
        <patternFill>
          <bgColor theme="0" tint="-4.9989318521683403E-2"/>
        </patternFill>
      </fill>
    </dxf>
    <dxf>
      <font>
        <b/>
        <i val="0"/>
        <color theme="0"/>
      </font>
      <fill>
        <patternFill>
          <bgColor theme="3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/>
        <i val="0"/>
        <color theme="0"/>
      </font>
      <fill>
        <patternFill>
          <bgColor theme="7"/>
        </patternFill>
      </fill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ont>
        <b/>
        <i val="0"/>
        <color theme="0"/>
      </font>
      <fill>
        <patternFill>
          <bgColor rgb="FF00B050"/>
        </patternFill>
      </fill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ont>
        <b/>
        <i val="0"/>
        <color theme="0"/>
      </font>
      <fill>
        <patternFill>
          <bgColor rgb="FFFF0000"/>
        </patternFill>
      </fill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</dxfs>
  <tableStyles count="4" defaultTableStyle="TableStyleMedium2" defaultPivotStyle="PivotStyleLight16">
    <tableStyle name="Expenses Table Style " pivot="0" count="2" xr9:uid="{8F02CEA1-5225-4DDF-B4E2-9FB3C189626B}">
      <tableStyleElement type="wholeTable" dxfId="118"/>
      <tableStyleElement type="headerRow" dxfId="117"/>
    </tableStyle>
    <tableStyle name="Income Table Style" pivot="0" count="2" xr9:uid="{9DC2821E-3DBD-4301-8453-D308C7566F56}">
      <tableStyleElement type="wholeTable" dxfId="116"/>
      <tableStyleElement type="headerRow" dxfId="115"/>
    </tableStyle>
    <tableStyle name="Savings Table Style" pivot="0" count="2" xr9:uid="{603AE3D3-3055-4C2C-87A1-55FB8956CA60}">
      <tableStyleElement type="wholeTable" dxfId="114"/>
      <tableStyleElement type="headerRow" dxfId="113"/>
    </tableStyle>
    <tableStyle name="Tracking Table Style" pivot="0" count="3" xr9:uid="{CC4114A7-8DAB-4F3D-86FF-CAE102E66599}">
      <tableStyleElement type="wholeTable" dxfId="112"/>
      <tableStyleElement type="headerRow" dxfId="111"/>
      <tableStyleElement type="firstRowStripe" dxfId="110"/>
    </tableStyle>
  </tableStyles>
  <colors>
    <mruColors>
      <color rgb="FFD3D3D3"/>
      <color rgb="FFF3F3F3"/>
      <color rgb="FFF32B93"/>
      <color rgb="FFE0E0E0"/>
      <color rgb="FFCDCDCD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shade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027-47CF-9A7F-1E568130A01A}"/>
              </c:ext>
            </c:extLst>
          </c:dPt>
          <c:dPt>
            <c:idx val="1"/>
            <c:bubble3D val="0"/>
            <c:spPr>
              <a:solidFill>
                <a:schemeClr val="accent6">
                  <a:shade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027-47CF-9A7F-1E568130A01A}"/>
              </c:ext>
            </c:extLst>
          </c:dPt>
          <c:dPt>
            <c:idx val="2"/>
            <c:bubble3D val="0"/>
            <c:spPr>
              <a:solidFill>
                <a:schemeClr val="accent6">
                  <a:shade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027-47CF-9A7F-1E568130A01A}"/>
              </c:ext>
            </c:extLst>
          </c:dPt>
          <c:dPt>
            <c:idx val="3"/>
            <c:bubble3D val="0"/>
            <c:spPr>
              <a:solidFill>
                <a:schemeClr val="accent6">
                  <a:tint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027-47CF-9A7F-1E568130A01A}"/>
              </c:ext>
            </c:extLst>
          </c:dPt>
          <c:dPt>
            <c:idx val="4"/>
            <c:bubble3D val="0"/>
            <c:spPr>
              <a:solidFill>
                <a:schemeClr val="accent6">
                  <a:tint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027-47CF-9A7F-1E568130A01A}"/>
              </c:ext>
            </c:extLst>
          </c:dPt>
          <c:dPt>
            <c:idx val="5"/>
            <c:bubble3D val="0"/>
            <c:spPr>
              <a:solidFill>
                <a:schemeClr val="accent6">
                  <a:tint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027-47CF-9A7F-1E568130A01A}"/>
              </c:ext>
            </c:extLst>
          </c:dPt>
          <c:cat>
            <c:strRef>
              <c:f>Calculations!$E$35:$E$40</c:f>
              <c:strCache>
                <c:ptCount val="4"/>
                <c:pt idx="0">
                  <c:v>Salary (Net)</c:v>
                </c:pt>
                <c:pt idx="1">
                  <c:v>Side Hustle (Net)</c:v>
                </c:pt>
                <c:pt idx="2">
                  <c:v>Freelance (Net)</c:v>
                </c:pt>
                <c:pt idx="3">
                  <c:v>Dividends (Net)</c:v>
                </c:pt>
              </c:strCache>
            </c:strRef>
          </c:cat>
          <c:val>
            <c:numRef>
              <c:f>Calculations!$F$35:$F$40</c:f>
              <c:numCache>
                <c:formatCode>_ * #,##0_ ;_ * \-#,##0_ ;_ * "-"??_ ;_ @_ </c:formatCode>
                <c:ptCount val="6"/>
                <c:pt idx="0">
                  <c:v>143954</c:v>
                </c:pt>
                <c:pt idx="1">
                  <c:v>103163</c:v>
                </c:pt>
                <c:pt idx="2">
                  <c:v>50897</c:v>
                </c:pt>
                <c:pt idx="3">
                  <c:v>19950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027-47CF-9A7F-1E568130A0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>
        <c:manualLayout>
          <c:layoutTarget val="inner"/>
          <c:xMode val="edge"/>
          <c:yMode val="edge"/>
          <c:x val="7.3924731182795703E-2"/>
          <c:y val="8.8353413654618476E-2"/>
          <c:w val="0.55107526881720426"/>
          <c:h val="0.8232931726907630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5">
                  <a:shade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315-42CF-B016-04E391CE3FC1}"/>
              </c:ext>
            </c:extLst>
          </c:dPt>
          <c:dPt>
            <c:idx val="1"/>
            <c:bubble3D val="0"/>
            <c:spPr>
              <a:solidFill>
                <a:schemeClr val="accent5">
                  <a:shade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315-42CF-B016-04E391CE3FC1}"/>
              </c:ext>
            </c:extLst>
          </c:dPt>
          <c:dPt>
            <c:idx val="2"/>
            <c:bubble3D val="0"/>
            <c:spPr>
              <a:solidFill>
                <a:schemeClr val="accent5">
                  <a:shade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315-42CF-B016-04E391CE3FC1}"/>
              </c:ext>
            </c:extLst>
          </c:dPt>
          <c:dPt>
            <c:idx val="3"/>
            <c:bubble3D val="0"/>
            <c:spPr>
              <a:solidFill>
                <a:schemeClr val="accent5">
                  <a:tint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315-42CF-B016-04E391CE3FC1}"/>
              </c:ext>
            </c:extLst>
          </c:dPt>
          <c:dPt>
            <c:idx val="4"/>
            <c:bubble3D val="0"/>
            <c:spPr>
              <a:solidFill>
                <a:schemeClr val="accent5">
                  <a:tint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315-42CF-B016-04E391CE3FC1}"/>
              </c:ext>
            </c:extLst>
          </c:dPt>
          <c:dPt>
            <c:idx val="5"/>
            <c:bubble3D val="0"/>
            <c:spPr>
              <a:solidFill>
                <a:schemeClr val="accent5">
                  <a:tint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315-42CF-B016-04E391CE3FC1}"/>
              </c:ext>
            </c:extLst>
          </c:dPt>
          <c:val>
            <c:numRef>
              <c:f>Calculations!$J$35:$J$40</c:f>
              <c:numCache>
                <c:formatCode>_ * #,##0_ ;_ * \-#,##0_ ;_ * "-"??_ ;_ @_ </c:formatCode>
                <c:ptCount val="6"/>
                <c:pt idx="0">
                  <c:v>45830</c:v>
                </c:pt>
                <c:pt idx="1">
                  <c:v>25000</c:v>
                </c:pt>
                <c:pt idx="2">
                  <c:v>7500</c:v>
                </c:pt>
                <c:pt idx="3">
                  <c:v>6430</c:v>
                </c:pt>
                <c:pt idx="4">
                  <c:v>3222</c:v>
                </c:pt>
                <c:pt idx="5">
                  <c:v>3573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Calculations!$I$35:$I$40</c15:sqref>
                        </c15:formulaRef>
                      </c:ext>
                    </c:extLst>
                    <c:strCache>
                      <c:ptCount val="6"/>
                      <c:pt idx="0">
                        <c:v>Groceries</c:v>
                      </c:pt>
                      <c:pt idx="1">
                        <c:v>Rent</c:v>
                      </c:pt>
                      <c:pt idx="2">
                        <c:v>Fuel</c:v>
                      </c:pt>
                      <c:pt idx="3">
                        <c:v>Fun &amp; Vacation</c:v>
                      </c:pt>
                      <c:pt idx="4">
                        <c:v>MISC</c:v>
                      </c:pt>
                      <c:pt idx="5">
                        <c:v>Other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2315-42CF-B016-04E391CE3F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4">
                  <a:shade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7A1-4DCF-84CC-0E024E8CD201}"/>
              </c:ext>
            </c:extLst>
          </c:dPt>
          <c:dPt>
            <c:idx val="1"/>
            <c:bubble3D val="0"/>
            <c:spPr>
              <a:solidFill>
                <a:schemeClr val="accent4">
                  <a:shade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7A1-4DCF-84CC-0E024E8CD201}"/>
              </c:ext>
            </c:extLst>
          </c:dPt>
          <c:dPt>
            <c:idx val="2"/>
            <c:bubble3D val="0"/>
            <c:spPr>
              <a:solidFill>
                <a:schemeClr val="accent4">
                  <a:shade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7A1-4DCF-84CC-0E024E8CD201}"/>
              </c:ext>
            </c:extLst>
          </c:dPt>
          <c:dPt>
            <c:idx val="3"/>
            <c:bubble3D val="0"/>
            <c:spPr>
              <a:solidFill>
                <a:schemeClr val="accent4">
                  <a:tint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7A1-4DCF-84CC-0E024E8CD201}"/>
              </c:ext>
            </c:extLst>
          </c:dPt>
          <c:dPt>
            <c:idx val="4"/>
            <c:bubble3D val="0"/>
            <c:spPr>
              <a:solidFill>
                <a:schemeClr val="accent4">
                  <a:tint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7A1-4DCF-84CC-0E024E8CD201}"/>
              </c:ext>
            </c:extLst>
          </c:dPt>
          <c:dPt>
            <c:idx val="5"/>
            <c:bubble3D val="0"/>
            <c:spPr>
              <a:solidFill>
                <a:schemeClr val="accent4">
                  <a:tint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7A1-4DCF-84CC-0E024E8CD201}"/>
              </c:ext>
            </c:extLst>
          </c:dPt>
          <c:cat>
            <c:strRef>
              <c:f>Calculations!$M$35:$M$40</c:f>
              <c:strCache>
                <c:ptCount val="5"/>
                <c:pt idx="0">
                  <c:v>Emergency Fund</c:v>
                </c:pt>
                <c:pt idx="1">
                  <c:v>Mcleodganj Trip Fund</c:v>
                </c:pt>
                <c:pt idx="2">
                  <c:v>Coorg Trip Fund</c:v>
                </c:pt>
                <c:pt idx="3">
                  <c:v>SIP</c:v>
                </c:pt>
                <c:pt idx="4">
                  <c:v>Skill Development</c:v>
                </c:pt>
              </c:strCache>
            </c:strRef>
          </c:cat>
          <c:val>
            <c:numRef>
              <c:f>Calculations!$N$35:$N$40</c:f>
              <c:numCache>
                <c:formatCode>_ * #,##0_ ;_ * \-#,##0_ ;_ * "-"??_ ;_ @_ </c:formatCode>
                <c:ptCount val="6"/>
                <c:pt idx="0">
                  <c:v>50000</c:v>
                </c:pt>
                <c:pt idx="1">
                  <c:v>35000</c:v>
                </c:pt>
                <c:pt idx="2">
                  <c:v>15000</c:v>
                </c:pt>
                <c:pt idx="3">
                  <c:v>6000</c:v>
                </c:pt>
                <c:pt idx="4">
                  <c:v>5686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7A1-4DCF-84CC-0E024E8CD2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755643044619423"/>
          <c:y val="0.16708333333333336"/>
          <c:w val="0.84187970253718281"/>
          <c:h val="0.6153546952464275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43C-49E8-A53D-7C4E4DE43EBC}"/>
              </c:ext>
            </c:extLst>
          </c:dPt>
          <c:dPt>
            <c:idx val="2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43C-49E8-A53D-7C4E4DE43EBC}"/>
              </c:ext>
            </c:extLst>
          </c:dPt>
          <c:dPt>
            <c:idx val="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43C-49E8-A53D-7C4E4DE43EBC}"/>
              </c:ext>
            </c:extLst>
          </c:dPt>
          <c:dPt>
            <c:idx val="6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43C-49E8-A53D-7C4E4DE43EBC}"/>
              </c:ext>
            </c:extLst>
          </c:dPt>
          <c:dPt>
            <c:idx val="9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443C-49E8-A53D-7C4E4DE43EBC}"/>
              </c:ext>
            </c:extLst>
          </c:dPt>
          <c:dPt>
            <c:idx val="10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443C-49E8-A53D-7C4E4DE43EBC}"/>
              </c:ext>
            </c:extLst>
          </c:dPt>
          <c:dPt>
            <c:idx val="1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443C-49E8-A53D-7C4E4DE43EBC}"/>
              </c:ext>
            </c:extLst>
          </c:dPt>
          <c:dPt>
            <c:idx val="14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443C-49E8-A53D-7C4E4DE43EBC}"/>
              </c:ext>
            </c:extLst>
          </c:dPt>
          <c:dPt>
            <c:idx val="17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443C-49E8-A53D-7C4E4DE43EBC}"/>
              </c:ext>
            </c:extLst>
          </c:dPt>
          <c:dPt>
            <c:idx val="18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443C-49E8-A53D-7C4E4DE43EBC}"/>
              </c:ext>
            </c:extLst>
          </c:dPt>
          <c:dPt>
            <c:idx val="2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443C-49E8-A53D-7C4E4DE43EBC}"/>
              </c:ext>
            </c:extLst>
          </c:dPt>
          <c:dPt>
            <c:idx val="22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443C-49E8-A53D-7C4E4DE43EBC}"/>
              </c:ext>
            </c:extLst>
          </c:dPt>
          <c:dPt>
            <c:idx val="2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443C-49E8-A53D-7C4E4DE43EBC}"/>
              </c:ext>
            </c:extLst>
          </c:dPt>
          <c:dPt>
            <c:idx val="26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443C-49E8-A53D-7C4E4DE43EBC}"/>
              </c:ext>
            </c:extLst>
          </c:dPt>
          <c:dPt>
            <c:idx val="29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443C-49E8-A53D-7C4E4DE43EBC}"/>
              </c:ext>
            </c:extLst>
          </c:dPt>
          <c:dPt>
            <c:idx val="30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443C-49E8-A53D-7C4E4DE43EBC}"/>
              </c:ext>
            </c:extLst>
          </c:dPt>
          <c:dPt>
            <c:idx val="3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443C-49E8-A53D-7C4E4DE43EBC}"/>
              </c:ext>
            </c:extLst>
          </c:dPt>
          <c:dPt>
            <c:idx val="34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443C-49E8-A53D-7C4E4DE43EBC}"/>
              </c:ext>
            </c:extLst>
          </c:dPt>
          <c:dPt>
            <c:idx val="37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443C-49E8-A53D-7C4E4DE43EBC}"/>
              </c:ext>
            </c:extLst>
          </c:dPt>
          <c:dPt>
            <c:idx val="38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443C-49E8-A53D-7C4E4DE43EBC}"/>
              </c:ext>
            </c:extLst>
          </c:dPt>
          <c:dPt>
            <c:idx val="4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443C-49E8-A53D-7C4E4DE43EBC}"/>
              </c:ext>
            </c:extLst>
          </c:dPt>
          <c:dPt>
            <c:idx val="42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B-443C-49E8-A53D-7C4E4DE43EBC}"/>
              </c:ext>
            </c:extLst>
          </c:dPt>
          <c:dPt>
            <c:idx val="4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D-443C-49E8-A53D-7C4E4DE43EBC}"/>
              </c:ext>
            </c:extLst>
          </c:dPt>
          <c:dPt>
            <c:idx val="46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F-443C-49E8-A53D-7C4E4DE43EBC}"/>
              </c:ext>
            </c:extLst>
          </c:dPt>
          <c:cat>
            <c:numRef>
              <c:f>Calculations!$D$55:$D$102</c:f>
              <c:numCache>
                <c:formatCode>mmm</c:formatCode>
                <c:ptCount val="48"/>
                <c:pt idx="0">
                  <c:v>46023</c:v>
                </c:pt>
                <c:pt idx="4">
                  <c:v>46054</c:v>
                </c:pt>
                <c:pt idx="8">
                  <c:v>46082</c:v>
                </c:pt>
                <c:pt idx="12">
                  <c:v>46113</c:v>
                </c:pt>
                <c:pt idx="16">
                  <c:v>46143</c:v>
                </c:pt>
                <c:pt idx="20">
                  <c:v>46174</c:v>
                </c:pt>
                <c:pt idx="24">
                  <c:v>46204</c:v>
                </c:pt>
                <c:pt idx="28">
                  <c:v>46235</c:v>
                </c:pt>
                <c:pt idx="32">
                  <c:v>46266</c:v>
                </c:pt>
                <c:pt idx="36">
                  <c:v>46296</c:v>
                </c:pt>
                <c:pt idx="40">
                  <c:v>46327</c:v>
                </c:pt>
                <c:pt idx="44">
                  <c:v>46357</c:v>
                </c:pt>
              </c:numCache>
            </c:numRef>
          </c:cat>
          <c:val>
            <c:numRef>
              <c:f>Calculations!$M$55:$M$102</c:f>
              <c:numCache>
                <c:formatCode>_ "₹"\ * #,##0_ ;_ "₹"\ * \-#,##0_ ;_ "₹"\ * "-"??_ ;_ @_ </c:formatCode>
                <c:ptCount val="48"/>
                <c:pt idx="0">
                  <c:v>26940</c:v>
                </c:pt>
                <c:pt idx="1">
                  <c:v>28918</c:v>
                </c:pt>
                <c:pt idx="2">
                  <c:v>3000</c:v>
                </c:pt>
                <c:pt idx="4">
                  <c:v>88604</c:v>
                </c:pt>
                <c:pt idx="5">
                  <c:v>29918</c:v>
                </c:pt>
                <c:pt idx="6">
                  <c:v>58686</c:v>
                </c:pt>
                <c:pt idx="8">
                  <c:v>99556</c:v>
                </c:pt>
                <c:pt idx="9">
                  <c:v>29418</c:v>
                </c:pt>
                <c:pt idx="10">
                  <c:v>50000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443C-49E8-A53D-7C4E4DE43EBC}"/>
            </c:ext>
          </c:extLst>
        </c:ser>
        <c:ser>
          <c:idx val="1"/>
          <c:order val="1"/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2-443C-49E8-A53D-7C4E4DE43EB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4-443C-49E8-A53D-7C4E4DE43EBC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6-443C-49E8-A53D-7C4E4DE43EBC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8-443C-49E8-A53D-7C4E4DE43EBC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A-443C-49E8-A53D-7C4E4DE43EBC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C-443C-49E8-A53D-7C4E4DE43EBC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E-443C-49E8-A53D-7C4E4DE43EBC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0-443C-49E8-A53D-7C4E4DE43EBC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2-443C-49E8-A53D-7C4E4DE43EBC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4-443C-49E8-A53D-7C4E4DE43EBC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6-443C-49E8-A53D-7C4E4DE43EBC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8-443C-49E8-A53D-7C4E4DE43EBC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A-443C-49E8-A53D-7C4E4DE43EBC}"/>
              </c:ext>
            </c:extLst>
          </c:dPt>
          <c:dPt>
            <c:idx val="26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C-443C-49E8-A53D-7C4E4DE43EBC}"/>
              </c:ext>
            </c:extLst>
          </c:dPt>
          <c:dPt>
            <c:idx val="29"/>
            <c:invertIfNegative val="0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E-443C-49E8-A53D-7C4E4DE43EBC}"/>
              </c:ext>
            </c:extLst>
          </c:dPt>
          <c:dPt>
            <c:idx val="30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0-443C-49E8-A53D-7C4E4DE43EBC}"/>
              </c:ext>
            </c:extLst>
          </c:dPt>
          <c:dPt>
            <c:idx val="33"/>
            <c:invertIfNegative val="0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2-443C-49E8-A53D-7C4E4DE43EBC}"/>
              </c:ext>
            </c:extLst>
          </c:dPt>
          <c:dPt>
            <c:idx val="34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4-443C-49E8-A53D-7C4E4DE43EBC}"/>
              </c:ext>
            </c:extLst>
          </c:dPt>
          <c:dPt>
            <c:idx val="37"/>
            <c:invertIfNegative val="0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6-443C-49E8-A53D-7C4E4DE43EBC}"/>
              </c:ext>
            </c:extLst>
          </c:dPt>
          <c:dPt>
            <c:idx val="38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8-443C-49E8-A53D-7C4E4DE43EBC}"/>
              </c:ext>
            </c:extLst>
          </c:dPt>
          <c:dPt>
            <c:idx val="41"/>
            <c:invertIfNegative val="0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A-443C-49E8-A53D-7C4E4DE43EBC}"/>
              </c:ext>
            </c:extLst>
          </c:dPt>
          <c:dPt>
            <c:idx val="42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C-443C-49E8-A53D-7C4E4DE43EBC}"/>
              </c:ext>
            </c:extLst>
          </c:dPt>
          <c:dPt>
            <c:idx val="45"/>
            <c:invertIfNegative val="0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E-443C-49E8-A53D-7C4E4DE43EBC}"/>
              </c:ext>
            </c:extLst>
          </c:dPt>
          <c:dPt>
            <c:idx val="46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0-443C-49E8-A53D-7C4E4DE43EBC}"/>
              </c:ext>
            </c:extLst>
          </c:dPt>
          <c:cat>
            <c:numRef>
              <c:f>Calculations!$D$55:$D$102</c:f>
              <c:numCache>
                <c:formatCode>mmm</c:formatCode>
                <c:ptCount val="48"/>
                <c:pt idx="0">
                  <c:v>46023</c:v>
                </c:pt>
                <c:pt idx="4">
                  <c:v>46054</c:v>
                </c:pt>
                <c:pt idx="8">
                  <c:v>46082</c:v>
                </c:pt>
                <c:pt idx="12">
                  <c:v>46113</c:v>
                </c:pt>
                <c:pt idx="16">
                  <c:v>46143</c:v>
                </c:pt>
                <c:pt idx="20">
                  <c:v>46174</c:v>
                </c:pt>
                <c:pt idx="24">
                  <c:v>46204</c:v>
                </c:pt>
                <c:pt idx="28">
                  <c:v>46235</c:v>
                </c:pt>
                <c:pt idx="32">
                  <c:v>46266</c:v>
                </c:pt>
                <c:pt idx="36">
                  <c:v>46296</c:v>
                </c:pt>
                <c:pt idx="40">
                  <c:v>46327</c:v>
                </c:pt>
                <c:pt idx="44">
                  <c:v>46357</c:v>
                </c:pt>
              </c:numCache>
            </c:numRef>
          </c:cat>
          <c:val>
            <c:numRef>
              <c:f>Calculations!$N$55:$N$102</c:f>
              <c:numCache>
                <c:formatCode>_ "₹"\ * #,##0_ ;_ "₹"\ * \-#,##0_ ;_ "₹"\ * "-"??_ ;_ @_ 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20138</c:v>
                </c:pt>
                <c:pt idx="12">
                  <c:v>102199</c:v>
                </c:pt>
                <c:pt idx="13">
                  <c:v>46418</c:v>
                </c:pt>
                <c:pt idx="14">
                  <c:v>55781</c:v>
                </c:pt>
                <c:pt idx="16">
                  <c:v>107753</c:v>
                </c:pt>
                <c:pt idx="17">
                  <c:v>50418</c:v>
                </c:pt>
                <c:pt idx="18">
                  <c:v>57335</c:v>
                </c:pt>
                <c:pt idx="20">
                  <c:v>111703</c:v>
                </c:pt>
                <c:pt idx="21">
                  <c:v>48918</c:v>
                </c:pt>
                <c:pt idx="22">
                  <c:v>62785</c:v>
                </c:pt>
                <c:pt idx="24">
                  <c:v>117736</c:v>
                </c:pt>
                <c:pt idx="25">
                  <c:v>49418</c:v>
                </c:pt>
                <c:pt idx="26">
                  <c:v>68318</c:v>
                </c:pt>
                <c:pt idx="28">
                  <c:v>124813</c:v>
                </c:pt>
                <c:pt idx="29">
                  <c:v>46918</c:v>
                </c:pt>
                <c:pt idx="30">
                  <c:v>77895</c:v>
                </c:pt>
                <c:pt idx="32">
                  <c:v>132833</c:v>
                </c:pt>
                <c:pt idx="33">
                  <c:v>53418</c:v>
                </c:pt>
                <c:pt idx="34">
                  <c:v>79415</c:v>
                </c:pt>
                <c:pt idx="36">
                  <c:v>135295</c:v>
                </c:pt>
                <c:pt idx="37">
                  <c:v>46418</c:v>
                </c:pt>
                <c:pt idx="38">
                  <c:v>88877</c:v>
                </c:pt>
                <c:pt idx="40">
                  <c:v>138509</c:v>
                </c:pt>
                <c:pt idx="41">
                  <c:v>45918</c:v>
                </c:pt>
                <c:pt idx="42">
                  <c:v>92591</c:v>
                </c:pt>
                <c:pt idx="44">
                  <c:v>139942</c:v>
                </c:pt>
                <c:pt idx="45">
                  <c:v>54718</c:v>
                </c:pt>
                <c:pt idx="46">
                  <c:v>85224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1-443C-49E8-A53D-7C4E4DE43EBC}"/>
            </c:ext>
          </c:extLst>
        </c:ser>
        <c:ser>
          <c:idx val="2"/>
          <c:order val="2"/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3-443C-49E8-A53D-7C4E4DE43EBC}"/>
              </c:ext>
            </c:extLst>
          </c:dPt>
          <c:dPt>
            <c:idx val="2"/>
            <c:invertIfNegative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5-443C-49E8-A53D-7C4E4DE43EBC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7-443C-49E8-A53D-7C4E4DE43EBC}"/>
              </c:ext>
            </c:extLst>
          </c:dPt>
          <c:dPt>
            <c:idx val="6"/>
            <c:invertIfNegative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9-443C-49E8-A53D-7C4E4DE43EBC}"/>
              </c:ext>
            </c:extLst>
          </c:dPt>
          <c:dPt>
            <c:idx val="9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B-443C-49E8-A53D-7C4E4DE43EBC}"/>
              </c:ext>
            </c:extLst>
          </c:dPt>
          <c:dPt>
            <c:idx val="10"/>
            <c:invertIfNegative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D-443C-49E8-A53D-7C4E4DE43EBC}"/>
              </c:ext>
            </c:extLst>
          </c:dPt>
          <c:dPt>
            <c:idx val="1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F-443C-49E8-A53D-7C4E4DE43EBC}"/>
              </c:ext>
            </c:extLst>
          </c:dPt>
          <c:dPt>
            <c:idx val="14"/>
            <c:invertIfNegative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1-443C-49E8-A53D-7C4E4DE43EBC}"/>
              </c:ext>
            </c:extLst>
          </c:dPt>
          <c:dPt>
            <c:idx val="17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3-443C-49E8-A53D-7C4E4DE43EBC}"/>
              </c:ext>
            </c:extLst>
          </c:dPt>
          <c:dPt>
            <c:idx val="18"/>
            <c:invertIfNegative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5-443C-49E8-A53D-7C4E4DE43EBC}"/>
              </c:ext>
            </c:extLst>
          </c:dPt>
          <c:dPt>
            <c:idx val="2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7-443C-49E8-A53D-7C4E4DE43EBC}"/>
              </c:ext>
            </c:extLst>
          </c:dPt>
          <c:dPt>
            <c:idx val="22"/>
            <c:invertIfNegative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9-443C-49E8-A53D-7C4E4DE43EBC}"/>
              </c:ext>
            </c:extLst>
          </c:dPt>
          <c:dPt>
            <c:idx val="25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B-443C-49E8-A53D-7C4E4DE43EBC}"/>
              </c:ext>
            </c:extLst>
          </c:dPt>
          <c:dPt>
            <c:idx val="26"/>
            <c:invertIfNegative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D-443C-49E8-A53D-7C4E4DE43EBC}"/>
              </c:ext>
            </c:extLst>
          </c:dPt>
          <c:dPt>
            <c:idx val="29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F-443C-49E8-A53D-7C4E4DE43EBC}"/>
              </c:ext>
            </c:extLst>
          </c:dPt>
          <c:dPt>
            <c:idx val="30"/>
            <c:invertIfNegative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1-443C-49E8-A53D-7C4E4DE43EBC}"/>
              </c:ext>
            </c:extLst>
          </c:dPt>
          <c:dPt>
            <c:idx val="3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3-443C-49E8-A53D-7C4E4DE43EBC}"/>
              </c:ext>
            </c:extLst>
          </c:dPt>
          <c:dPt>
            <c:idx val="34"/>
            <c:invertIfNegative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5-443C-49E8-A53D-7C4E4DE43EBC}"/>
              </c:ext>
            </c:extLst>
          </c:dPt>
          <c:dPt>
            <c:idx val="37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7-443C-49E8-A53D-7C4E4DE43EBC}"/>
              </c:ext>
            </c:extLst>
          </c:dPt>
          <c:dPt>
            <c:idx val="38"/>
            <c:invertIfNegative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9-443C-49E8-A53D-7C4E4DE43EBC}"/>
              </c:ext>
            </c:extLst>
          </c:dPt>
          <c:dPt>
            <c:idx val="4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B-443C-49E8-A53D-7C4E4DE43EBC}"/>
              </c:ext>
            </c:extLst>
          </c:dPt>
          <c:dPt>
            <c:idx val="42"/>
            <c:invertIfNegative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D-443C-49E8-A53D-7C4E4DE43EBC}"/>
              </c:ext>
            </c:extLst>
          </c:dPt>
          <c:dPt>
            <c:idx val="45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F-443C-49E8-A53D-7C4E4DE43EBC}"/>
              </c:ext>
            </c:extLst>
          </c:dPt>
          <c:dPt>
            <c:idx val="46"/>
            <c:invertIfNegative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91-443C-49E8-A53D-7C4E4DE43EBC}"/>
              </c:ext>
            </c:extLst>
          </c:dPt>
          <c:cat>
            <c:numRef>
              <c:f>Calculations!$D$55:$D$102</c:f>
              <c:numCache>
                <c:formatCode>mmm</c:formatCode>
                <c:ptCount val="48"/>
                <c:pt idx="0">
                  <c:v>46023</c:v>
                </c:pt>
                <c:pt idx="4">
                  <c:v>46054</c:v>
                </c:pt>
                <c:pt idx="8">
                  <c:v>46082</c:v>
                </c:pt>
                <c:pt idx="12">
                  <c:v>46113</c:v>
                </c:pt>
                <c:pt idx="16">
                  <c:v>46143</c:v>
                </c:pt>
                <c:pt idx="20">
                  <c:v>46174</c:v>
                </c:pt>
                <c:pt idx="24">
                  <c:v>46204</c:v>
                </c:pt>
                <c:pt idx="28">
                  <c:v>46235</c:v>
                </c:pt>
                <c:pt idx="32">
                  <c:v>46266</c:v>
                </c:pt>
                <c:pt idx="36">
                  <c:v>46296</c:v>
                </c:pt>
                <c:pt idx="40">
                  <c:v>46327</c:v>
                </c:pt>
                <c:pt idx="44">
                  <c:v>46357</c:v>
                </c:pt>
              </c:numCache>
            </c:numRef>
          </c:cat>
          <c:val>
            <c:numRef>
              <c:f>Calculations!$O$55:$O$102</c:f>
              <c:numCache>
                <c:formatCode>_ "₹"\ * #,##0_ ;_ "₹"\ * \-#,##0_ ;_ "₹"\ * "-"??_ ;_ @_ </c:formatCode>
                <c:ptCount val="48"/>
                <c:pt idx="0">
                  <c:v>8223</c:v>
                </c:pt>
                <c:pt idx="1">
                  <c:v>71</c:v>
                </c:pt>
                <c:pt idx="2">
                  <c:v>0</c:v>
                </c:pt>
                <c:pt idx="4">
                  <c:v>0</c:v>
                </c:pt>
                <c:pt idx="5">
                  <c:v>2080</c:v>
                </c:pt>
                <c:pt idx="6">
                  <c:v>0</c:v>
                </c:pt>
                <c:pt idx="8">
                  <c:v>94641</c:v>
                </c:pt>
                <c:pt idx="9">
                  <c:v>1150</c:v>
                </c:pt>
                <c:pt idx="10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2-443C-49E8-A53D-7C4E4DE43EBC}"/>
            </c:ext>
          </c:extLst>
        </c:ser>
        <c:ser>
          <c:idx val="3"/>
          <c:order val="3"/>
          <c:spPr>
            <a:solidFill>
              <a:srgbClr val="E0E0E0"/>
            </a:solidFill>
            <a:ln>
              <a:noFill/>
            </a:ln>
            <a:effectLst/>
          </c:spPr>
          <c:invertIfNegative val="0"/>
          <c:cat>
            <c:numRef>
              <c:f>Calculations!$D$55:$D$102</c:f>
              <c:numCache>
                <c:formatCode>mmm</c:formatCode>
                <c:ptCount val="48"/>
                <c:pt idx="0">
                  <c:v>46023</c:v>
                </c:pt>
                <c:pt idx="4">
                  <c:v>46054</c:v>
                </c:pt>
                <c:pt idx="8">
                  <c:v>46082</c:v>
                </c:pt>
                <c:pt idx="12">
                  <c:v>46113</c:v>
                </c:pt>
                <c:pt idx="16">
                  <c:v>46143</c:v>
                </c:pt>
                <c:pt idx="20">
                  <c:v>46174</c:v>
                </c:pt>
                <c:pt idx="24">
                  <c:v>46204</c:v>
                </c:pt>
                <c:pt idx="28">
                  <c:v>46235</c:v>
                </c:pt>
                <c:pt idx="32">
                  <c:v>46266</c:v>
                </c:pt>
                <c:pt idx="36">
                  <c:v>46296</c:v>
                </c:pt>
                <c:pt idx="40">
                  <c:v>46327</c:v>
                </c:pt>
                <c:pt idx="44">
                  <c:v>46357</c:v>
                </c:pt>
              </c:numCache>
            </c:numRef>
          </c:cat>
          <c:val>
            <c:numRef>
              <c:f>Calculations!$P$55:$P$102</c:f>
              <c:numCache>
                <c:formatCode>_ "₹"\ * #,##0_ ;_ "₹"\ * \-#,##0_ ;_ "₹"\ * "-"??_ ;_ @_ 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3-443C-49E8-A53D-7C4E4DE43EBC}"/>
            </c:ext>
          </c:extLst>
        </c:ser>
        <c:ser>
          <c:idx val="4"/>
          <c:order val="4"/>
          <c:spPr>
            <a:solidFill>
              <a:srgbClr val="F3F3F3"/>
            </a:solidFill>
            <a:ln>
              <a:noFill/>
            </a:ln>
            <a:effectLst/>
          </c:spPr>
          <c:invertIfNegative val="0"/>
          <c:cat>
            <c:numRef>
              <c:f>Calculations!$D$55:$D$102</c:f>
              <c:numCache>
                <c:formatCode>mmm</c:formatCode>
                <c:ptCount val="48"/>
                <c:pt idx="0">
                  <c:v>46023</c:v>
                </c:pt>
                <c:pt idx="4">
                  <c:v>46054</c:v>
                </c:pt>
                <c:pt idx="8">
                  <c:v>46082</c:v>
                </c:pt>
                <c:pt idx="12">
                  <c:v>46113</c:v>
                </c:pt>
                <c:pt idx="16">
                  <c:v>46143</c:v>
                </c:pt>
                <c:pt idx="20">
                  <c:v>46174</c:v>
                </c:pt>
                <c:pt idx="24">
                  <c:v>46204</c:v>
                </c:pt>
                <c:pt idx="28">
                  <c:v>46235</c:v>
                </c:pt>
                <c:pt idx="32">
                  <c:v>46266</c:v>
                </c:pt>
                <c:pt idx="36">
                  <c:v>46296</c:v>
                </c:pt>
                <c:pt idx="40">
                  <c:v>46327</c:v>
                </c:pt>
                <c:pt idx="44">
                  <c:v>46357</c:v>
                </c:pt>
              </c:numCache>
            </c:numRef>
          </c:cat>
          <c:val>
            <c:numRef>
              <c:f>Calculations!$Q$55:$Q$102</c:f>
              <c:numCache>
                <c:formatCode>_ "₹"\ * #,##0_ ;_ "₹"\ * \-#,##0_ ;_ "₹"\ * "-"??_ ;_ @_ 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4-443C-49E8-A53D-7C4E4DE43EBC}"/>
            </c:ext>
          </c:extLst>
        </c:ser>
        <c:ser>
          <c:idx val="5"/>
          <c:order val="5"/>
          <c:spPr>
            <a:solidFill>
              <a:srgbClr val="D3D3D3"/>
            </a:solidFill>
            <a:ln>
              <a:noFill/>
            </a:ln>
            <a:effectLst/>
          </c:spPr>
          <c:invertIfNegative val="0"/>
          <c:cat>
            <c:numRef>
              <c:f>Calculations!$D$55:$D$102</c:f>
              <c:numCache>
                <c:formatCode>mmm</c:formatCode>
                <c:ptCount val="48"/>
                <c:pt idx="0">
                  <c:v>46023</c:v>
                </c:pt>
                <c:pt idx="4">
                  <c:v>46054</c:v>
                </c:pt>
                <c:pt idx="8">
                  <c:v>46082</c:v>
                </c:pt>
                <c:pt idx="12">
                  <c:v>46113</c:v>
                </c:pt>
                <c:pt idx="16">
                  <c:v>46143</c:v>
                </c:pt>
                <c:pt idx="20">
                  <c:v>46174</c:v>
                </c:pt>
                <c:pt idx="24">
                  <c:v>46204</c:v>
                </c:pt>
                <c:pt idx="28">
                  <c:v>46235</c:v>
                </c:pt>
                <c:pt idx="32">
                  <c:v>46266</c:v>
                </c:pt>
                <c:pt idx="36">
                  <c:v>46296</c:v>
                </c:pt>
                <c:pt idx="40">
                  <c:v>46327</c:v>
                </c:pt>
                <c:pt idx="44">
                  <c:v>46357</c:v>
                </c:pt>
              </c:numCache>
            </c:numRef>
          </c:cat>
          <c:val>
            <c:numRef>
              <c:f>Calculations!$R$55:$R$102</c:f>
              <c:numCache>
                <c:formatCode>_ "₹"\ * #,##0_ ;_ "₹"\ * \-#,##0_ ;_ "₹"\ * "-"??_ ;_ @_ 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5-443C-49E8-A53D-7C4E4DE43E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1020669023"/>
        <c:axId val="1020667103"/>
      </c:barChart>
      <c:catAx>
        <c:axId val="1020669023"/>
        <c:scaling>
          <c:orientation val="minMax"/>
        </c:scaling>
        <c:delete val="0"/>
        <c:axPos val="b"/>
        <c:numFmt formatCode="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667103"/>
        <c:crosses val="autoZero"/>
        <c:auto val="0"/>
        <c:lblAlgn val="ctr"/>
        <c:lblOffset val="100"/>
        <c:noMultiLvlLbl val="0"/>
      </c:catAx>
      <c:valAx>
        <c:axId val="1020667103"/>
        <c:scaling>
          <c:orientation val="minMax"/>
        </c:scaling>
        <c:delete val="0"/>
        <c:axPos val="l"/>
        <c:numFmt formatCode="_ &quot;₹&quot;\ * #,##0_ ;_ &quot;₹&quot;\ * \-#,##0_ ;_ &quot;₹&quot;\ * &quot;-&quot;??_ ;_ @_ " sourceLinked="1"/>
        <c:majorTickMark val="none"/>
        <c:minorTickMark val="none"/>
        <c:tickLblPos val="nextTo"/>
        <c:spPr>
          <a:solidFill>
            <a:schemeClr val="bg1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669023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301565752556795E-2"/>
          <c:y val="0.16619072615923008"/>
          <c:w val="0.93888888888888888"/>
          <c:h val="0.61147929882720697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val>
            <c:numRef>
              <c:f>Calculations!$E$24</c:f>
              <c:numCache>
                <c:formatCode>0%</c:formatCode>
                <c:ptCount val="1"/>
                <c:pt idx="0">
                  <c:v>0.30136986301369861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5D-420A-AC44-297E1ACB4A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226275375"/>
        <c:axId val="1226283055"/>
      </c:barChart>
      <c:catAx>
        <c:axId val="1226275375"/>
        <c:scaling>
          <c:orientation val="minMax"/>
        </c:scaling>
        <c:delete val="1"/>
        <c:axPos val="l"/>
        <c:majorTickMark val="none"/>
        <c:minorTickMark val="none"/>
        <c:tickLblPos val="nextTo"/>
        <c:crossAx val="1226283055"/>
        <c:crosses val="autoZero"/>
        <c:auto val="1"/>
        <c:lblAlgn val="ctr"/>
        <c:lblOffset val="100"/>
        <c:noMultiLvlLbl val="0"/>
      </c:catAx>
      <c:valAx>
        <c:axId val="1226283055"/>
        <c:scaling>
          <c:orientation val="minMax"/>
          <c:max val="1"/>
        </c:scaling>
        <c:delete val="1"/>
        <c:axPos val="b"/>
        <c:numFmt formatCode="0%" sourceLinked="1"/>
        <c:majorTickMark val="none"/>
        <c:minorTickMark val="none"/>
        <c:tickLblPos val="nextTo"/>
        <c:crossAx val="122627537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CheckBox" checked="Checked" fmlaLink="Calculations!$E$49" lockText="1" noThreeD="1"/>
</file>

<file path=xl/ctrlProps/ctrlProp2.xml><?xml version="1.0" encoding="utf-8"?>
<formControlPr xmlns="http://schemas.microsoft.com/office/spreadsheetml/2009/9/main" objectType="CheckBox" checked="Checked" fmlaLink="Calculations!$E$50" lockText="1" noThreeD="1"/>
</file>

<file path=xl/ctrlProps/ctrlProp3.xml><?xml version="1.0" encoding="utf-8"?>
<formControlPr xmlns="http://schemas.microsoft.com/office/spreadsheetml/2009/9/main" objectType="CheckBox" checked="Checked" fmlaLink="Calculations!$E$51" lockText="1" noThreeD="1"/>
</file>

<file path=xl/ctrlProps/ctrlProp4.xml><?xml version="1.0" encoding="utf-8"?>
<formControlPr xmlns="http://schemas.microsoft.com/office/spreadsheetml/2009/9/main" objectType="CheckBox" checked="Checked" fmlaLink="Calculations!$E$52" lockText="1" noThreeD="1"/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152399</xdr:rowOff>
    </xdr:from>
    <xdr:to>
      <xdr:col>2</xdr:col>
      <xdr:colOff>1457325</xdr:colOff>
      <xdr:row>8</xdr:row>
      <xdr:rowOff>133350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02FFBFDE-B820-F829-A29E-B86593011F84}"/>
            </a:ext>
          </a:extLst>
        </xdr:cNvPr>
        <xdr:cNvGrpSpPr/>
      </xdr:nvGrpSpPr>
      <xdr:grpSpPr>
        <a:xfrm>
          <a:off x="809625" y="723899"/>
          <a:ext cx="1457325" cy="933451"/>
          <a:chOff x="1219200" y="714374"/>
          <a:chExt cx="1457325" cy="1044000"/>
        </a:xfrm>
      </xdr:grpSpPr>
      <xdr:sp macro="" textlink="">
        <xdr:nvSpPr>
          <xdr:cNvPr id="2" name="Rectangle: Rounded Corners 1">
            <a:extLst>
              <a:ext uri="{FF2B5EF4-FFF2-40B4-BE49-F238E27FC236}">
                <a16:creationId xmlns:a16="http://schemas.microsoft.com/office/drawing/2014/main" id="{21F00A37-7FF0-D8C5-411A-5BB8BFD20DBD}"/>
              </a:ext>
            </a:extLst>
          </xdr:cNvPr>
          <xdr:cNvSpPr/>
        </xdr:nvSpPr>
        <xdr:spPr>
          <a:xfrm>
            <a:off x="1219200" y="714374"/>
            <a:ext cx="1457325" cy="1044000"/>
          </a:xfrm>
          <a:prstGeom prst="roundRect">
            <a:avLst/>
          </a:prstGeom>
          <a:solidFill>
            <a:schemeClr val="bg1"/>
          </a:solidFill>
          <a:ln w="6350">
            <a:solidFill>
              <a:schemeClr val="bg1">
                <a:lumMod val="85000"/>
              </a:schemeClr>
            </a:solidFill>
          </a:ln>
          <a:effectLst>
            <a:outerShdw blurRad="825500" dist="127000" dir="5400000" sx="95000" sy="95000" algn="ctr" rotWithShape="0">
              <a:prstClr val="black">
                <a:alpha val="15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EA99DB5F-7152-F2C2-B22C-09C6A4376D79}"/>
              </a:ext>
            </a:extLst>
          </xdr:cNvPr>
          <xdr:cNvSpPr txBox="1"/>
        </xdr:nvSpPr>
        <xdr:spPr>
          <a:xfrm>
            <a:off x="1219200" y="742951"/>
            <a:ext cx="1009650" cy="2762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100" b="1"/>
              <a:t>Date</a:t>
            </a:r>
            <a:r>
              <a:rPr lang="en-IN" sz="1100" b="1" baseline="0"/>
              <a:t> </a:t>
            </a:r>
            <a:r>
              <a:rPr lang="en-IN" sz="1200" b="1" baseline="0"/>
              <a:t>of Today </a:t>
            </a:r>
            <a:r>
              <a:rPr lang="en-IN" sz="1100" baseline="0"/>
              <a:t>	</a:t>
            </a:r>
          </a:p>
          <a:p>
            <a:endParaRPr lang="en-IN" sz="1100"/>
          </a:p>
        </xdr:txBody>
      </xdr:sp>
      <xdr:sp macro="" textlink="Calculations!E8">
        <xdr:nvSpPr>
          <xdr:cNvPr id="6" name="TextBox 5">
            <a:extLst>
              <a:ext uri="{FF2B5EF4-FFF2-40B4-BE49-F238E27FC236}">
                <a16:creationId xmlns:a16="http://schemas.microsoft.com/office/drawing/2014/main" id="{4EF43F35-AF33-494F-E771-F1303B2BB73E}"/>
              </a:ext>
            </a:extLst>
          </xdr:cNvPr>
          <xdr:cNvSpPr txBox="1"/>
        </xdr:nvSpPr>
        <xdr:spPr>
          <a:xfrm>
            <a:off x="1219200" y="1152525"/>
            <a:ext cx="800100" cy="2476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D1FDCEEE-4532-4A78-BBF7-67684531973A}" type="TxLink">
              <a:rPr lang="en-US" sz="1200" b="1" i="0" u="none" strike="noStrike">
                <a:solidFill>
                  <a:srgbClr val="000000"/>
                </a:solidFill>
                <a:latin typeface="Aptos Narrow"/>
              </a:rPr>
              <a:pPr/>
              <a:t>20-Apr-26</a:t>
            </a:fld>
            <a:endParaRPr lang="en-IN" sz="1200" b="1"/>
          </a:p>
        </xdr:txBody>
      </xdr:sp>
    </xdr:grpSp>
    <xdr:clientData/>
  </xdr:twoCellAnchor>
  <xdr:twoCellAnchor>
    <xdr:from>
      <xdr:col>2</xdr:col>
      <xdr:colOff>1800225</xdr:colOff>
      <xdr:row>3</xdr:row>
      <xdr:rowOff>152399</xdr:rowOff>
    </xdr:from>
    <xdr:to>
      <xdr:col>3</xdr:col>
      <xdr:colOff>1467750</xdr:colOff>
      <xdr:row>8</xdr:row>
      <xdr:rowOff>133350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9C247A94-9A6D-B265-C0AD-B1587286EC29}"/>
            </a:ext>
          </a:extLst>
        </xdr:cNvPr>
        <xdr:cNvGrpSpPr/>
      </xdr:nvGrpSpPr>
      <xdr:grpSpPr>
        <a:xfrm>
          <a:off x="2609850" y="723899"/>
          <a:ext cx="1944000" cy="933451"/>
          <a:chOff x="3019425" y="733425"/>
          <a:chExt cx="1944000" cy="1044000"/>
        </a:xfrm>
      </xdr:grpSpPr>
      <xdr:sp macro="" textlink="">
        <xdr:nvSpPr>
          <xdr:cNvPr id="7" name="Rectangle: Rounded Corners 6">
            <a:extLst>
              <a:ext uri="{FF2B5EF4-FFF2-40B4-BE49-F238E27FC236}">
                <a16:creationId xmlns:a16="http://schemas.microsoft.com/office/drawing/2014/main" id="{D06CDBA2-B0B8-45F6-B1F9-64EF0859ED01}"/>
              </a:ext>
            </a:extLst>
          </xdr:cNvPr>
          <xdr:cNvSpPr/>
        </xdr:nvSpPr>
        <xdr:spPr>
          <a:xfrm>
            <a:off x="3019425" y="733425"/>
            <a:ext cx="1944000" cy="1044000"/>
          </a:xfrm>
          <a:prstGeom prst="roundRect">
            <a:avLst/>
          </a:prstGeom>
          <a:solidFill>
            <a:schemeClr val="bg1"/>
          </a:solidFill>
          <a:ln w="6350">
            <a:solidFill>
              <a:schemeClr val="bg1">
                <a:lumMod val="85000"/>
              </a:schemeClr>
            </a:solidFill>
          </a:ln>
          <a:effectLst>
            <a:outerShdw blurRad="825500" dist="127000" dir="5400000" sx="95000" sy="95000" algn="ctr" rotWithShape="0">
              <a:prstClr val="black">
                <a:alpha val="15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B64DB035-58B2-4F5A-B472-F68E6004D659}"/>
              </a:ext>
            </a:extLst>
          </xdr:cNvPr>
          <xdr:cNvSpPr txBox="1"/>
        </xdr:nvSpPr>
        <xdr:spPr>
          <a:xfrm>
            <a:off x="3019425" y="762002"/>
            <a:ext cx="1466850" cy="2762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100" b="1"/>
              <a:t>Date</a:t>
            </a:r>
            <a:r>
              <a:rPr lang="en-IN" sz="1100" b="1" baseline="0"/>
              <a:t> </a:t>
            </a:r>
            <a:r>
              <a:rPr lang="en-IN" sz="1200" b="1" baseline="0"/>
              <a:t>of Last Record </a:t>
            </a:r>
            <a:r>
              <a:rPr lang="en-IN" sz="1100" baseline="0"/>
              <a:t>	</a:t>
            </a:r>
          </a:p>
          <a:p>
            <a:endParaRPr lang="en-IN" sz="1100"/>
          </a:p>
        </xdr:txBody>
      </xdr:sp>
      <xdr:sp macro="" textlink="Calculations!E9">
        <xdr:nvSpPr>
          <xdr:cNvPr id="9" name="TextBox 8">
            <a:extLst>
              <a:ext uri="{FF2B5EF4-FFF2-40B4-BE49-F238E27FC236}">
                <a16:creationId xmlns:a16="http://schemas.microsoft.com/office/drawing/2014/main" id="{264A9E33-6D46-43DA-B4FC-E2D408F27BCF}"/>
              </a:ext>
            </a:extLst>
          </xdr:cNvPr>
          <xdr:cNvSpPr txBox="1"/>
        </xdr:nvSpPr>
        <xdr:spPr>
          <a:xfrm>
            <a:off x="3019425" y="1171576"/>
            <a:ext cx="800100" cy="2476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9E31463F-9DFB-4ACB-9DB2-866057D4CBC6}" type="TxLink">
              <a:rPr lang="en-US" sz="1200" b="1" i="0" u="none" strike="noStrike">
                <a:solidFill>
                  <a:srgbClr val="000000"/>
                </a:solidFill>
                <a:latin typeface="Aptos Narrow"/>
              </a:rPr>
              <a:pPr/>
              <a:t>12-Mar-26</a:t>
            </a:fld>
            <a:endParaRPr lang="en-IN" sz="1200" b="1"/>
          </a:p>
        </xdr:txBody>
      </xdr:sp>
      <xdr:sp macro="" textlink="Calculations!E10">
        <xdr:nvSpPr>
          <xdr:cNvPr id="10" name="TextBox 9">
            <a:extLst>
              <a:ext uri="{FF2B5EF4-FFF2-40B4-BE49-F238E27FC236}">
                <a16:creationId xmlns:a16="http://schemas.microsoft.com/office/drawing/2014/main" id="{50421334-5FE7-420F-A7DA-0963196016F3}"/>
              </a:ext>
            </a:extLst>
          </xdr:cNvPr>
          <xdr:cNvSpPr txBox="1"/>
        </xdr:nvSpPr>
        <xdr:spPr>
          <a:xfrm>
            <a:off x="3886199" y="1181100"/>
            <a:ext cx="1028701" cy="2476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D4EAC914-CE6E-40ED-9474-F45551D47AF7}" type="TxLink">
              <a:rPr lang="en-US" sz="1050" b="1" i="0" u="none" strike="noStrike">
                <a:solidFill>
                  <a:srgbClr val="000000"/>
                </a:solidFill>
                <a:latin typeface="Aptos Narrow"/>
              </a:rPr>
              <a:pPr/>
              <a:t>(39 Days Ago)</a:t>
            </a:fld>
            <a:endParaRPr lang="en-IN" sz="1050" b="1"/>
          </a:p>
        </xdr:txBody>
      </xdr:sp>
    </xdr:grpSp>
    <xdr:clientData/>
  </xdr:twoCellAnchor>
  <xdr:twoCellAnchor>
    <xdr:from>
      <xdr:col>3</xdr:col>
      <xdr:colOff>1857375</xdr:colOff>
      <xdr:row>3</xdr:row>
      <xdr:rowOff>152399</xdr:rowOff>
    </xdr:from>
    <xdr:to>
      <xdr:col>4</xdr:col>
      <xdr:colOff>1276350</xdr:colOff>
      <xdr:row>8</xdr:row>
      <xdr:rowOff>133350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DC759A75-0530-9E4A-D588-859965A41029}"/>
            </a:ext>
          </a:extLst>
        </xdr:cNvPr>
        <xdr:cNvGrpSpPr/>
      </xdr:nvGrpSpPr>
      <xdr:grpSpPr>
        <a:xfrm>
          <a:off x="4943475" y="723899"/>
          <a:ext cx="1695450" cy="933451"/>
          <a:chOff x="5353050" y="723900"/>
          <a:chExt cx="1695450" cy="1044000"/>
        </a:xfrm>
      </xdr:grpSpPr>
      <xdr:sp macro="" textlink="">
        <xdr:nvSpPr>
          <xdr:cNvPr id="12" name="Rectangle: Rounded Corners 11">
            <a:extLst>
              <a:ext uri="{FF2B5EF4-FFF2-40B4-BE49-F238E27FC236}">
                <a16:creationId xmlns:a16="http://schemas.microsoft.com/office/drawing/2014/main" id="{B5081487-88CD-4535-8288-047BB27967F6}"/>
              </a:ext>
            </a:extLst>
          </xdr:cNvPr>
          <xdr:cNvSpPr/>
        </xdr:nvSpPr>
        <xdr:spPr>
          <a:xfrm>
            <a:off x="5353050" y="723900"/>
            <a:ext cx="1695450" cy="1044000"/>
          </a:xfrm>
          <a:prstGeom prst="roundRect">
            <a:avLst/>
          </a:prstGeom>
          <a:solidFill>
            <a:schemeClr val="bg1"/>
          </a:solidFill>
          <a:ln w="6350">
            <a:solidFill>
              <a:schemeClr val="bg1">
                <a:lumMod val="85000"/>
              </a:schemeClr>
            </a:solidFill>
          </a:ln>
          <a:effectLst>
            <a:outerShdw blurRad="825500" dist="127000" dir="5400000" sx="95000" sy="95000" algn="ctr" rotWithShape="0">
              <a:prstClr val="black">
                <a:alpha val="15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FD9FACB2-E200-4155-A07D-40984B3D8DE8}"/>
              </a:ext>
            </a:extLst>
          </xdr:cNvPr>
          <xdr:cNvSpPr txBox="1"/>
        </xdr:nvSpPr>
        <xdr:spPr>
          <a:xfrm>
            <a:off x="5381625" y="752477"/>
            <a:ext cx="1600200" cy="2762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100" b="1" baseline="0"/>
              <a:t>No. of Tracked Records</a:t>
            </a:r>
            <a:r>
              <a:rPr lang="en-IN" sz="1200" b="1" baseline="0"/>
              <a:t> </a:t>
            </a:r>
            <a:r>
              <a:rPr lang="en-IN" sz="1100" baseline="0"/>
              <a:t>	</a:t>
            </a:r>
          </a:p>
          <a:p>
            <a:endParaRPr lang="en-IN" sz="1100"/>
          </a:p>
        </xdr:txBody>
      </xdr:sp>
      <xdr:sp macro="" textlink="Calculations!E11">
        <xdr:nvSpPr>
          <xdr:cNvPr id="14" name="TextBox 13">
            <a:extLst>
              <a:ext uri="{FF2B5EF4-FFF2-40B4-BE49-F238E27FC236}">
                <a16:creationId xmlns:a16="http://schemas.microsoft.com/office/drawing/2014/main" id="{86149EBA-7CB5-454C-99BA-3C7759A7A763}"/>
              </a:ext>
            </a:extLst>
          </xdr:cNvPr>
          <xdr:cNvSpPr txBox="1"/>
        </xdr:nvSpPr>
        <xdr:spPr>
          <a:xfrm>
            <a:off x="5400675" y="1209676"/>
            <a:ext cx="381000" cy="2476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75D80965-31F3-41B6-A38C-D73520F31DEE}" type="TxLink">
              <a:rPr lang="en-US" sz="1200" b="1" i="0" u="none" strike="noStrike">
                <a:solidFill>
                  <a:srgbClr val="000000"/>
                </a:solidFill>
                <a:latin typeface="Aptos Narrow"/>
              </a:rPr>
              <a:pPr/>
              <a:t>37</a:t>
            </a:fld>
            <a:endParaRPr lang="en-IN" sz="1200" b="1"/>
          </a:p>
        </xdr:txBody>
      </xdr:sp>
      <xdr:sp macro="" textlink="Calculations!E12">
        <xdr:nvSpPr>
          <xdr:cNvPr id="15" name="TextBox 14">
            <a:extLst>
              <a:ext uri="{FF2B5EF4-FFF2-40B4-BE49-F238E27FC236}">
                <a16:creationId xmlns:a16="http://schemas.microsoft.com/office/drawing/2014/main" id="{3AE1DDD1-E79B-4788-B6E4-B530C9891570}"/>
              </a:ext>
            </a:extLst>
          </xdr:cNvPr>
          <xdr:cNvSpPr txBox="1"/>
        </xdr:nvSpPr>
        <xdr:spPr>
          <a:xfrm>
            <a:off x="5667374" y="1209675"/>
            <a:ext cx="1028701" cy="2476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3F737485-9187-41FE-BD33-9947F43ED31A}" type="TxLink">
              <a:rPr lang="en-US" sz="1050" b="1" i="0" u="none" strike="noStrike">
                <a:solidFill>
                  <a:srgbClr val="000000"/>
                </a:solidFill>
                <a:latin typeface="Aptos Narrow"/>
              </a:rPr>
              <a:pPr/>
              <a:t>(37 this year)</a:t>
            </a:fld>
            <a:endParaRPr lang="en-IN" sz="1050" b="1"/>
          </a:p>
        </xdr:txBody>
      </xdr:sp>
    </xdr:grpSp>
    <xdr:clientData/>
  </xdr:twoCellAnchor>
  <xdr:twoCellAnchor>
    <xdr:from>
      <xdr:col>4</xdr:col>
      <xdr:colOff>1657349</xdr:colOff>
      <xdr:row>3</xdr:row>
      <xdr:rowOff>152399</xdr:rowOff>
    </xdr:from>
    <xdr:to>
      <xdr:col>6</xdr:col>
      <xdr:colOff>981074</xdr:colOff>
      <xdr:row>8</xdr:row>
      <xdr:rowOff>123825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B0ABE21A-E2F4-AD30-31B8-B8693B08781C}"/>
            </a:ext>
          </a:extLst>
        </xdr:cNvPr>
        <xdr:cNvGrpSpPr/>
      </xdr:nvGrpSpPr>
      <xdr:grpSpPr>
        <a:xfrm>
          <a:off x="7019924" y="723899"/>
          <a:ext cx="3876675" cy="923926"/>
          <a:chOff x="7429499" y="733425"/>
          <a:chExt cx="3876675" cy="1044000"/>
        </a:xfrm>
      </xdr:grpSpPr>
      <xdr:sp macro="" textlink="">
        <xdr:nvSpPr>
          <xdr:cNvPr id="16" name="Rectangle: Rounded Corners 15">
            <a:extLst>
              <a:ext uri="{FF2B5EF4-FFF2-40B4-BE49-F238E27FC236}">
                <a16:creationId xmlns:a16="http://schemas.microsoft.com/office/drawing/2014/main" id="{F8C15BF4-E96D-4DDA-8056-842B136EEA8D}"/>
              </a:ext>
            </a:extLst>
          </xdr:cNvPr>
          <xdr:cNvSpPr/>
        </xdr:nvSpPr>
        <xdr:spPr>
          <a:xfrm>
            <a:off x="7429499" y="733425"/>
            <a:ext cx="3876675" cy="1044000"/>
          </a:xfrm>
          <a:prstGeom prst="roundRect">
            <a:avLst/>
          </a:prstGeom>
          <a:solidFill>
            <a:schemeClr val="bg1"/>
          </a:solidFill>
          <a:ln w="6350">
            <a:solidFill>
              <a:schemeClr val="bg1">
                <a:lumMod val="85000"/>
              </a:schemeClr>
            </a:solidFill>
          </a:ln>
          <a:effectLst>
            <a:outerShdw blurRad="825500" dist="127000" dir="5400000" sx="95000" sy="95000" algn="ctr" rotWithShape="0">
              <a:prstClr val="black">
                <a:alpha val="15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7AC8B4CB-10D4-485B-B1E7-E67C8107BE3E}"/>
              </a:ext>
            </a:extLst>
          </xdr:cNvPr>
          <xdr:cNvSpPr txBox="1"/>
        </xdr:nvSpPr>
        <xdr:spPr>
          <a:xfrm>
            <a:off x="7429500" y="762002"/>
            <a:ext cx="1619250" cy="2762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100" b="1" baseline="0"/>
              <a:t>Total Tracking Balance</a:t>
            </a:r>
            <a:r>
              <a:rPr lang="en-IN" sz="1200" b="1" baseline="0"/>
              <a:t> </a:t>
            </a:r>
            <a:r>
              <a:rPr lang="en-IN" sz="1100" baseline="0"/>
              <a:t>	</a:t>
            </a:r>
          </a:p>
          <a:p>
            <a:endParaRPr lang="en-IN" sz="1100"/>
          </a:p>
        </xdr:txBody>
      </xdr:sp>
      <xdr:sp macro="" textlink="Calculations!E13">
        <xdr:nvSpPr>
          <xdr:cNvPr id="18" name="TextBox 17">
            <a:extLst>
              <a:ext uri="{FF2B5EF4-FFF2-40B4-BE49-F238E27FC236}">
                <a16:creationId xmlns:a16="http://schemas.microsoft.com/office/drawing/2014/main" id="{A0E65FDF-D5E6-40F6-9B40-FC8D3D573DC0}"/>
              </a:ext>
            </a:extLst>
          </xdr:cNvPr>
          <xdr:cNvSpPr txBox="1"/>
        </xdr:nvSpPr>
        <xdr:spPr>
          <a:xfrm>
            <a:off x="7429500" y="1171576"/>
            <a:ext cx="800100" cy="2476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31A6F06E-EB26-4BFE-B8A6-EA10C6C37FF9}" type="TxLink">
              <a:rPr lang="en-US" sz="1200" b="1" i="0" u="none" strike="noStrike">
                <a:solidFill>
                  <a:srgbClr val="000000"/>
                </a:solidFill>
                <a:latin typeface="Aptos Narrow"/>
              </a:rPr>
              <a:pPr/>
              <a:t> 1,14,723 </a:t>
            </a:fld>
            <a:endParaRPr lang="en-IN" sz="1200" b="1"/>
          </a:p>
        </xdr:txBody>
      </xdr:sp>
      <xdr:sp macro="" textlink="Calculations!E14">
        <xdr:nvSpPr>
          <xdr:cNvPr id="19" name="TextBox 18">
            <a:extLst>
              <a:ext uri="{FF2B5EF4-FFF2-40B4-BE49-F238E27FC236}">
                <a16:creationId xmlns:a16="http://schemas.microsoft.com/office/drawing/2014/main" id="{0F9FEE5D-D394-44EA-8CC9-9927A113D8EE}"/>
              </a:ext>
            </a:extLst>
          </xdr:cNvPr>
          <xdr:cNvSpPr txBox="1"/>
        </xdr:nvSpPr>
        <xdr:spPr>
          <a:xfrm>
            <a:off x="8143874" y="1190625"/>
            <a:ext cx="2314576" cy="2476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29BB3F79-3118-4A33-B2F3-E507AC91A6BC}" type="TxLink">
              <a:rPr lang="en-US" sz="1050" b="0" i="0" u="none" strike="noStrike">
                <a:solidFill>
                  <a:srgbClr val="000000"/>
                </a:solidFill>
                <a:latin typeface="Aptos Narrow"/>
              </a:rPr>
              <a:pPr/>
              <a:t>of tracked income left to be allocated</a:t>
            </a:fld>
            <a:endParaRPr lang="en-IN" sz="1050" b="1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133349</xdr:colOff>
      <xdr:row>12</xdr:row>
      <xdr:rowOff>19050</xdr:rowOff>
    </xdr:from>
    <xdr:to>
      <xdr:col>34</xdr:col>
      <xdr:colOff>352425</xdr:colOff>
      <xdr:row>13</xdr:row>
      <xdr:rowOff>104775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A16C708-041A-65F2-BC8E-3AF3F667F77E}"/>
            </a:ext>
          </a:extLst>
        </xdr:cNvPr>
        <xdr:cNvSpPr txBox="1"/>
      </xdr:nvSpPr>
      <xdr:spPr>
        <a:xfrm>
          <a:off x="6819899" y="2305050"/>
          <a:ext cx="2266951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>
              <a:solidFill>
                <a:schemeClr val="accent3">
                  <a:lumMod val="60000"/>
                  <a:lumOff val="40000"/>
                </a:schemeClr>
              </a:solidFill>
            </a:rPr>
            <a:t>Income</a:t>
          </a:r>
          <a:r>
            <a:rPr lang="en-IN" sz="1100" b="1"/>
            <a:t> Categories (Tracked)</a:t>
          </a:r>
        </a:p>
      </xdr:txBody>
    </xdr:sp>
    <xdr:clientData/>
  </xdr:twoCellAnchor>
  <xdr:twoCellAnchor>
    <xdr:from>
      <xdr:col>29</xdr:col>
      <xdr:colOff>533400</xdr:colOff>
      <xdr:row>15</xdr:row>
      <xdr:rowOff>28576</xdr:rowOff>
    </xdr:from>
    <xdr:to>
      <xdr:col>34</xdr:col>
      <xdr:colOff>352425</xdr:colOff>
      <xdr:row>23</xdr:row>
      <xdr:rowOff>104776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98DFBA2-42AA-432F-89C8-99D7642A62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31</xdr:col>
      <xdr:colOff>133349</xdr:colOff>
      <xdr:row>25</xdr:row>
      <xdr:rowOff>47625</xdr:rowOff>
    </xdr:from>
    <xdr:ext cx="2266951" cy="276225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048F750-A860-48D4-9DD5-618B3BE4F077}"/>
            </a:ext>
          </a:extLst>
        </xdr:cNvPr>
        <xdr:cNvSpPr txBox="1"/>
      </xdr:nvSpPr>
      <xdr:spPr>
        <a:xfrm>
          <a:off x="6819899" y="4810125"/>
          <a:ext cx="2266951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>
              <a:solidFill>
                <a:srgbClr val="FF0000"/>
              </a:solidFill>
            </a:rPr>
            <a:t>Expenses</a:t>
          </a:r>
          <a:r>
            <a:rPr lang="en-IN" sz="1100" b="1"/>
            <a:t> Categories (Tracked)</a:t>
          </a:r>
        </a:p>
      </xdr:txBody>
    </xdr:sp>
    <xdr:clientData/>
  </xdr:oneCellAnchor>
  <xdr:twoCellAnchor>
    <xdr:from>
      <xdr:col>31</xdr:col>
      <xdr:colOff>28575</xdr:colOff>
      <xdr:row>28</xdr:row>
      <xdr:rowOff>19050</xdr:rowOff>
    </xdr:from>
    <xdr:to>
      <xdr:col>34</xdr:col>
      <xdr:colOff>342900</xdr:colOff>
      <xdr:row>36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9B7ED3D-DE77-4977-916E-20A64EB7F7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38</xdr:col>
      <xdr:colOff>133349</xdr:colOff>
      <xdr:row>25</xdr:row>
      <xdr:rowOff>47625</xdr:rowOff>
    </xdr:from>
    <xdr:ext cx="2266951" cy="276225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986BAA2-F530-4956-BB8B-FA64D17BB32D}"/>
            </a:ext>
          </a:extLst>
        </xdr:cNvPr>
        <xdr:cNvSpPr txBox="1"/>
      </xdr:nvSpPr>
      <xdr:spPr>
        <a:xfrm>
          <a:off x="11144249" y="4810125"/>
          <a:ext cx="2266951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>
              <a:solidFill>
                <a:schemeClr val="accent1">
                  <a:lumMod val="60000"/>
                  <a:lumOff val="40000"/>
                </a:schemeClr>
              </a:solidFill>
            </a:rPr>
            <a:t>Savings</a:t>
          </a:r>
          <a:r>
            <a:rPr lang="en-IN" sz="1100" b="1"/>
            <a:t> Categories (Tracked)</a:t>
          </a:r>
        </a:p>
      </xdr:txBody>
    </xdr:sp>
    <xdr:clientData/>
  </xdr:oneCellAnchor>
  <xdr:twoCellAnchor>
    <xdr:from>
      <xdr:col>36</xdr:col>
      <xdr:colOff>66675</xdr:colOff>
      <xdr:row>28</xdr:row>
      <xdr:rowOff>38100</xdr:rowOff>
    </xdr:from>
    <xdr:to>
      <xdr:col>41</xdr:col>
      <xdr:colOff>352425</xdr:colOff>
      <xdr:row>36</xdr:row>
      <xdr:rowOff>114300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C779785-1862-476B-A222-E1010B2D66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133349</xdr:colOff>
      <xdr:row>12</xdr:row>
      <xdr:rowOff>19050</xdr:rowOff>
    </xdr:from>
    <xdr:to>
      <xdr:col>41</xdr:col>
      <xdr:colOff>47624</xdr:colOff>
      <xdr:row>13</xdr:row>
      <xdr:rowOff>138113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621211F-3C2C-9EBE-2C66-541052809C06}"/>
            </a:ext>
          </a:extLst>
        </xdr:cNvPr>
        <xdr:cNvSpPr txBox="1"/>
      </xdr:nvSpPr>
      <xdr:spPr>
        <a:xfrm>
          <a:off x="11144249" y="2305050"/>
          <a:ext cx="1962150" cy="3095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Tracked</a:t>
          </a:r>
          <a:r>
            <a:rPr lang="en-IN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(vs. Budget)</a:t>
          </a:r>
          <a:endParaRPr lang="en-IN">
            <a:effectLst/>
          </a:endParaRPr>
        </a:p>
        <a:p>
          <a:endParaRPr lang="en-IN" sz="1100"/>
        </a:p>
      </xdr:txBody>
    </xdr:sp>
    <xdr:clientData/>
  </xdr:twoCellAnchor>
  <xdr:twoCellAnchor>
    <xdr:from>
      <xdr:col>38</xdr:col>
      <xdr:colOff>180975</xdr:colOff>
      <xdr:row>13</xdr:row>
      <xdr:rowOff>38101</xdr:rowOff>
    </xdr:from>
    <xdr:to>
      <xdr:col>44</xdr:col>
      <xdr:colOff>19050</xdr:colOff>
      <xdr:row>23</xdr:row>
      <xdr:rowOff>171451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7C601D0-7F2C-4FD7-8D44-42D65857E9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42</xdr:col>
          <xdr:colOff>219075</xdr:colOff>
          <xdr:row>12</xdr:row>
          <xdr:rowOff>152400</xdr:rowOff>
        </xdr:from>
        <xdr:to>
          <xdr:col>43</xdr:col>
          <xdr:colOff>219075</xdr:colOff>
          <xdr:row>13</xdr:row>
          <xdr:rowOff>104775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3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Income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41</xdr:col>
          <xdr:colOff>371475</xdr:colOff>
          <xdr:row>13</xdr:row>
          <xdr:rowOff>171450</xdr:rowOff>
        </xdr:from>
        <xdr:to>
          <xdr:col>41</xdr:col>
          <xdr:colOff>981075</xdr:colOff>
          <xdr:row>14</xdr:row>
          <xdr:rowOff>123825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3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Expenses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42</xdr:col>
          <xdr:colOff>228600</xdr:colOff>
          <xdr:row>13</xdr:row>
          <xdr:rowOff>171450</xdr:rowOff>
        </xdr:from>
        <xdr:to>
          <xdr:col>43</xdr:col>
          <xdr:colOff>228600</xdr:colOff>
          <xdr:row>14</xdr:row>
          <xdr:rowOff>123825</xdr:rowOff>
        </xdr:to>
        <xdr:sp macro="" textlink="">
          <xdr:nvSpPr>
            <xdr:cNvPr id="3077" name="Check Box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3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Savings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41</xdr:col>
          <xdr:colOff>361950</xdr:colOff>
          <xdr:row>12</xdr:row>
          <xdr:rowOff>152400</xdr:rowOff>
        </xdr:from>
        <xdr:to>
          <xdr:col>41</xdr:col>
          <xdr:colOff>971550</xdr:colOff>
          <xdr:row>13</xdr:row>
          <xdr:rowOff>104775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3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Budget</a:t>
              </a:r>
            </a:p>
          </xdr:txBody>
        </xdr:sp>
        <xdr:clientData/>
      </xdr:twoCellAnchor>
    </mc:Choice>
    <mc:Fallback/>
  </mc:AlternateContent>
  <xdr:twoCellAnchor>
    <xdr:from>
      <xdr:col>41</xdr:col>
      <xdr:colOff>295275</xdr:colOff>
      <xdr:row>12</xdr:row>
      <xdr:rowOff>85725</xdr:rowOff>
    </xdr:from>
    <xdr:to>
      <xdr:col>43</xdr:col>
      <xdr:colOff>371475</xdr:colOff>
      <xdr:row>15</xdr:row>
      <xdr:rowOff>38100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FD14BBC1-529A-C0D3-8AD9-59860D452E71}"/>
            </a:ext>
          </a:extLst>
        </xdr:cNvPr>
        <xdr:cNvSpPr/>
      </xdr:nvSpPr>
      <xdr:spPr>
        <a:xfrm>
          <a:off x="13354050" y="2371725"/>
          <a:ext cx="1685925" cy="523875"/>
        </a:xfrm>
        <a:prstGeom prst="rect">
          <a:avLst/>
        </a:prstGeom>
        <a:noFill/>
        <a:ln w="6350"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0</xdr:colOff>
      <xdr:row>4</xdr:row>
      <xdr:rowOff>0</xdr:rowOff>
    </xdr:from>
    <xdr:to>
      <xdr:col>25</xdr:col>
      <xdr:colOff>807450</xdr:colOff>
      <xdr:row>8</xdr:row>
      <xdr:rowOff>171451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80C41746-D66F-D7C4-DDB6-AD60345737DB}"/>
            </a:ext>
          </a:extLst>
        </xdr:cNvPr>
        <xdr:cNvGrpSpPr/>
      </xdr:nvGrpSpPr>
      <xdr:grpSpPr>
        <a:xfrm>
          <a:off x="981075" y="762000"/>
          <a:ext cx="2160000" cy="933451"/>
          <a:chOff x="981075" y="762000"/>
          <a:chExt cx="2160000" cy="933451"/>
        </a:xfrm>
      </xdr:grpSpPr>
      <xdr:sp macro="" textlink="">
        <xdr:nvSpPr>
          <xdr:cNvPr id="16" name="Rectangle: Rounded Corners 15">
            <a:extLst>
              <a:ext uri="{FF2B5EF4-FFF2-40B4-BE49-F238E27FC236}">
                <a16:creationId xmlns:a16="http://schemas.microsoft.com/office/drawing/2014/main" id="{E4EC2B58-D534-DA54-7BB4-8FAA45FC2173}"/>
              </a:ext>
            </a:extLst>
          </xdr:cNvPr>
          <xdr:cNvSpPr/>
        </xdr:nvSpPr>
        <xdr:spPr>
          <a:xfrm>
            <a:off x="981075" y="762000"/>
            <a:ext cx="2160000" cy="933451"/>
          </a:xfrm>
          <a:prstGeom prst="roundRect">
            <a:avLst/>
          </a:prstGeom>
          <a:solidFill>
            <a:schemeClr val="bg1"/>
          </a:solidFill>
          <a:ln w="6350">
            <a:solidFill>
              <a:schemeClr val="bg1">
                <a:lumMod val="85000"/>
              </a:schemeClr>
            </a:solidFill>
          </a:ln>
          <a:effectLst>
            <a:outerShdw blurRad="825500" dist="127000" dir="5400000" sx="95000" sy="95000" algn="ctr" rotWithShape="0">
              <a:prstClr val="black">
                <a:alpha val="15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D28C8884-9F9D-5D39-887B-412C23411734}"/>
              </a:ext>
            </a:extLst>
          </xdr:cNvPr>
          <xdr:cNvSpPr txBox="1"/>
        </xdr:nvSpPr>
        <xdr:spPr>
          <a:xfrm>
            <a:off x="981075" y="787551"/>
            <a:ext cx="2160000" cy="2469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100" b="1" baseline="0"/>
              <a:t>Selected Year &amp; Period</a:t>
            </a:r>
            <a:r>
              <a:rPr lang="en-IN" sz="1100" baseline="0"/>
              <a:t>	</a:t>
            </a:r>
          </a:p>
          <a:p>
            <a:endParaRPr lang="en-IN" sz="1100"/>
          </a:p>
        </xdr:txBody>
      </xdr:sp>
      <xdr:sp macro="" textlink="selected_year">
        <xdr:nvSpPr>
          <xdr:cNvPr id="18" name="TextBox 17">
            <a:extLst>
              <a:ext uri="{FF2B5EF4-FFF2-40B4-BE49-F238E27FC236}">
                <a16:creationId xmlns:a16="http://schemas.microsoft.com/office/drawing/2014/main" id="{117B40D3-0E7E-40F8-CC75-79F430CD0577}"/>
              </a:ext>
            </a:extLst>
          </xdr:cNvPr>
          <xdr:cNvSpPr txBox="1"/>
        </xdr:nvSpPr>
        <xdr:spPr>
          <a:xfrm>
            <a:off x="981075" y="1143000"/>
            <a:ext cx="762000" cy="25594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0A2FE665-7A44-467C-A47C-9365EB1DFA41}" type="TxLink">
              <a:rPr lang="en-US" sz="1100" b="0" i="0" u="none" strike="noStrike">
                <a:solidFill>
                  <a:srgbClr val="000000"/>
                </a:solidFill>
                <a:latin typeface="Aptos Narrow"/>
              </a:rPr>
              <a:pPr/>
              <a:t>2026</a:t>
            </a:fld>
            <a:endParaRPr lang="en-IN" sz="1200" b="1"/>
          </a:p>
        </xdr:txBody>
      </xdr:sp>
      <xdr:sp macro="" textlink="selected_period_display">
        <xdr:nvSpPr>
          <xdr:cNvPr id="20" name="TextBox 19">
            <a:extLst>
              <a:ext uri="{FF2B5EF4-FFF2-40B4-BE49-F238E27FC236}">
                <a16:creationId xmlns:a16="http://schemas.microsoft.com/office/drawing/2014/main" id="{157E3515-E17E-41AE-AA4D-FBCF96DE60E3}"/>
              </a:ext>
            </a:extLst>
          </xdr:cNvPr>
          <xdr:cNvSpPr txBox="1"/>
        </xdr:nvSpPr>
        <xdr:spPr>
          <a:xfrm>
            <a:off x="1924050" y="1143000"/>
            <a:ext cx="762000" cy="25594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9F944309-DD45-4662-998B-AD0EF6DAA3B6}" type="TxLink">
              <a:rPr lang="en-US" sz="1100" b="0" i="0" u="none" strike="noStrike">
                <a:solidFill>
                  <a:srgbClr val="000000"/>
                </a:solidFill>
                <a:latin typeface="Aptos Narrow"/>
              </a:rPr>
              <a:pPr/>
              <a:t>Total Year</a:t>
            </a:fld>
            <a:endParaRPr lang="en-IN" sz="1200" b="1"/>
          </a:p>
        </xdr:txBody>
      </xdr:sp>
    </xdr:grpSp>
    <xdr:clientData/>
  </xdr:twoCellAnchor>
  <xdr:twoCellAnchor>
    <xdr:from>
      <xdr:col>26</xdr:col>
      <xdr:colOff>200024</xdr:colOff>
      <xdr:row>4</xdr:row>
      <xdr:rowOff>0</xdr:rowOff>
    </xdr:from>
    <xdr:to>
      <xdr:col>28</xdr:col>
      <xdr:colOff>19049</xdr:colOff>
      <xdr:row>7</xdr:row>
      <xdr:rowOff>161925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C5E3B714-4C9C-1326-0EF2-DEC19E42B1B7}"/>
            </a:ext>
          </a:extLst>
        </xdr:cNvPr>
        <xdr:cNvGrpSpPr/>
      </xdr:nvGrpSpPr>
      <xdr:grpSpPr>
        <a:xfrm>
          <a:off x="3381374" y="762000"/>
          <a:ext cx="1343025" cy="733425"/>
          <a:chOff x="3590924" y="762000"/>
          <a:chExt cx="1343025" cy="733425"/>
        </a:xfrm>
      </xdr:grpSpPr>
      <xdr:sp macro="" textlink="">
        <xdr:nvSpPr>
          <xdr:cNvPr id="23" name="Rectangle: Rounded Corners 22">
            <a:extLst>
              <a:ext uri="{FF2B5EF4-FFF2-40B4-BE49-F238E27FC236}">
                <a16:creationId xmlns:a16="http://schemas.microsoft.com/office/drawing/2014/main" id="{2FC0146F-BA2D-0FF2-665D-F96B91CE7044}"/>
              </a:ext>
            </a:extLst>
          </xdr:cNvPr>
          <xdr:cNvSpPr/>
        </xdr:nvSpPr>
        <xdr:spPr>
          <a:xfrm>
            <a:off x="3624261" y="762000"/>
            <a:ext cx="1276350" cy="733425"/>
          </a:xfrm>
          <a:prstGeom prst="roundRect">
            <a:avLst/>
          </a:prstGeom>
          <a:solidFill>
            <a:schemeClr val="bg1"/>
          </a:solidFill>
          <a:ln w="6350">
            <a:solidFill>
              <a:schemeClr val="bg1">
                <a:lumMod val="85000"/>
              </a:schemeClr>
            </a:solidFill>
          </a:ln>
          <a:effectLst>
            <a:outerShdw blurRad="825500" dist="127000" dir="5400000" sx="95000" sy="95000" algn="ctr" rotWithShape="0">
              <a:prstClr val="black">
                <a:alpha val="15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graphicFrame macro="">
        <xdr:nvGraphicFramePr>
          <xdr:cNvPr id="26" name="Chart 25">
            <a:extLst>
              <a:ext uri="{FF2B5EF4-FFF2-40B4-BE49-F238E27FC236}">
                <a16:creationId xmlns:a16="http://schemas.microsoft.com/office/drawing/2014/main" id="{27581D75-05A3-46FB-AD93-DAB0A5C911E4}"/>
              </a:ext>
            </a:extLst>
          </xdr:cNvPr>
          <xdr:cNvGraphicFramePr>
            <a:graphicFrameLocks/>
          </xdr:cNvGraphicFramePr>
        </xdr:nvGraphicFramePr>
        <xdr:xfrm>
          <a:off x="3876675" y="1066800"/>
          <a:ext cx="864000" cy="36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Calculations!E24">
        <xdr:nvSpPr>
          <xdr:cNvPr id="25" name="TextBox 24">
            <a:extLst>
              <a:ext uri="{FF2B5EF4-FFF2-40B4-BE49-F238E27FC236}">
                <a16:creationId xmlns:a16="http://schemas.microsoft.com/office/drawing/2014/main" id="{E179E411-46CB-BBF5-A601-0EDD49E5A637}"/>
              </a:ext>
            </a:extLst>
          </xdr:cNvPr>
          <xdr:cNvSpPr txBox="1"/>
        </xdr:nvSpPr>
        <xdr:spPr>
          <a:xfrm>
            <a:off x="3862386" y="1125180"/>
            <a:ext cx="800100" cy="2214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4CB02AFC-B34A-46C5-A044-9C8154BA447E}" type="TxLink">
              <a:rPr lang="en-US" sz="1100" b="1" i="0" u="none" strike="noStrike">
                <a:solidFill>
                  <a:srgbClr val="000000"/>
                </a:solidFill>
                <a:latin typeface="Aptos Narrow"/>
              </a:rPr>
              <a:pPr algn="ctr"/>
              <a:t>30%</a:t>
            </a:fld>
            <a:endParaRPr lang="en-US" sz="1200" b="1" i="0" u="none" strike="noStrike">
              <a:solidFill>
                <a:srgbClr val="000000"/>
              </a:solidFill>
              <a:latin typeface="Aptos Narrow"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8782B9E0-BA9E-F5A0-ADA6-E3BA5D16007F}"/>
              </a:ext>
            </a:extLst>
          </xdr:cNvPr>
          <xdr:cNvSpPr txBox="1"/>
        </xdr:nvSpPr>
        <xdr:spPr>
          <a:xfrm>
            <a:off x="3590924" y="768501"/>
            <a:ext cx="1343025" cy="2469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1100" b="1"/>
              <a:t>Period Completed</a:t>
            </a:r>
          </a:p>
          <a:p>
            <a:r>
              <a:rPr lang="en-IN" sz="1100" baseline="0"/>
              <a:t>	</a:t>
            </a:r>
          </a:p>
          <a:p>
            <a:endParaRPr lang="en-IN" sz="1100"/>
          </a:p>
        </xdr:txBody>
      </xdr:sp>
    </xdr:grpSp>
    <xdr:clientData/>
  </xdr:twoCellAnchor>
  <xdr:twoCellAnchor>
    <xdr:from>
      <xdr:col>28</xdr:col>
      <xdr:colOff>314325</xdr:colOff>
      <xdr:row>4</xdr:row>
      <xdr:rowOff>0</xdr:rowOff>
    </xdr:from>
    <xdr:to>
      <xdr:col>34</xdr:col>
      <xdr:colOff>161925</xdr:colOff>
      <xdr:row>8</xdr:row>
      <xdr:rowOff>161926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BD932FED-CEED-4A75-A025-39D10B70ACF5}"/>
            </a:ext>
          </a:extLst>
        </xdr:cNvPr>
        <xdr:cNvGrpSpPr/>
      </xdr:nvGrpSpPr>
      <xdr:grpSpPr>
        <a:xfrm>
          <a:off x="5019675" y="762000"/>
          <a:ext cx="3876675" cy="923926"/>
          <a:chOff x="7429499" y="733425"/>
          <a:chExt cx="3876675" cy="1044000"/>
        </a:xfrm>
      </xdr:grpSpPr>
      <xdr:sp macro="" textlink="">
        <xdr:nvSpPr>
          <xdr:cNvPr id="30" name="Rectangle: Rounded Corners 29">
            <a:extLst>
              <a:ext uri="{FF2B5EF4-FFF2-40B4-BE49-F238E27FC236}">
                <a16:creationId xmlns:a16="http://schemas.microsoft.com/office/drawing/2014/main" id="{C674C649-E4F0-D253-EDE0-631E7BF42117}"/>
              </a:ext>
            </a:extLst>
          </xdr:cNvPr>
          <xdr:cNvSpPr/>
        </xdr:nvSpPr>
        <xdr:spPr>
          <a:xfrm>
            <a:off x="7429499" y="733425"/>
            <a:ext cx="3876675" cy="1044000"/>
          </a:xfrm>
          <a:prstGeom prst="roundRect">
            <a:avLst/>
          </a:prstGeom>
          <a:solidFill>
            <a:schemeClr val="bg1"/>
          </a:solidFill>
          <a:ln w="6350">
            <a:solidFill>
              <a:schemeClr val="bg1">
                <a:lumMod val="85000"/>
              </a:schemeClr>
            </a:solidFill>
          </a:ln>
          <a:effectLst>
            <a:outerShdw blurRad="825500" dist="127000" dir="5400000" sx="95000" sy="95000" algn="ctr" rotWithShape="0">
              <a:prstClr val="black">
                <a:alpha val="15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8C08660D-0DEA-70B6-D23E-B7D22C783FA2}"/>
              </a:ext>
            </a:extLst>
          </xdr:cNvPr>
          <xdr:cNvSpPr txBox="1"/>
        </xdr:nvSpPr>
        <xdr:spPr>
          <a:xfrm>
            <a:off x="7429500" y="762002"/>
            <a:ext cx="1619250" cy="2762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100" b="1" baseline="0"/>
              <a:t>Period Tracking Balance</a:t>
            </a:r>
            <a:r>
              <a:rPr lang="en-IN" sz="1200" b="1" baseline="0"/>
              <a:t> </a:t>
            </a:r>
            <a:r>
              <a:rPr lang="en-IN" sz="1100" baseline="0"/>
              <a:t>	</a:t>
            </a:r>
          </a:p>
          <a:p>
            <a:endParaRPr lang="en-IN" sz="1100"/>
          </a:p>
        </xdr:txBody>
      </xdr:sp>
      <xdr:sp macro="" textlink="Calculations!E25">
        <xdr:nvSpPr>
          <xdr:cNvPr id="32" name="TextBox 31">
            <a:extLst>
              <a:ext uri="{FF2B5EF4-FFF2-40B4-BE49-F238E27FC236}">
                <a16:creationId xmlns:a16="http://schemas.microsoft.com/office/drawing/2014/main" id="{E6FDA81D-ADAC-D686-0692-EA6A104D0800}"/>
              </a:ext>
            </a:extLst>
          </xdr:cNvPr>
          <xdr:cNvSpPr txBox="1"/>
        </xdr:nvSpPr>
        <xdr:spPr>
          <a:xfrm>
            <a:off x="7429500" y="1171576"/>
            <a:ext cx="800100" cy="2476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10BFD642-DA21-4528-A2DC-9FCA369805B9}" type="TxLink">
              <a:rPr lang="en-US" sz="1200" b="1" i="0" u="none" strike="noStrike">
                <a:solidFill>
                  <a:srgbClr val="000000"/>
                </a:solidFill>
                <a:latin typeface="Aptos Narrow"/>
              </a:rPr>
              <a:pPr/>
              <a:t>114723</a:t>
            </a:fld>
            <a:endParaRPr lang="en-IN" sz="1200" b="1"/>
          </a:p>
        </xdr:txBody>
      </xdr:sp>
      <xdr:sp macro="" textlink="Calculations!E26">
        <xdr:nvSpPr>
          <xdr:cNvPr id="33" name="TextBox 32">
            <a:extLst>
              <a:ext uri="{FF2B5EF4-FFF2-40B4-BE49-F238E27FC236}">
                <a16:creationId xmlns:a16="http://schemas.microsoft.com/office/drawing/2014/main" id="{EB7FA2F6-8B95-D64F-217A-D261F1561255}"/>
              </a:ext>
            </a:extLst>
          </xdr:cNvPr>
          <xdr:cNvSpPr txBox="1"/>
        </xdr:nvSpPr>
        <xdr:spPr>
          <a:xfrm>
            <a:off x="8143874" y="1190625"/>
            <a:ext cx="2314576" cy="2476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17B7A5F8-B3C0-4D7E-901C-138C83DC3093}" type="TxLink">
              <a:rPr lang="en-US" sz="1100" b="0" i="0" u="none" strike="noStrike">
                <a:solidFill>
                  <a:srgbClr val="000000"/>
                </a:solidFill>
                <a:latin typeface="Aptos Narrow"/>
              </a:rPr>
              <a:pPr/>
              <a:t>of tracked income left to be allocated</a:t>
            </a:fld>
            <a:endParaRPr lang="en-IN" sz="1050" b="1"/>
          </a:p>
        </xdr:txBody>
      </xdr:sp>
    </xdr:grpSp>
    <xdr:clientData/>
  </xdr:twoCellAnchor>
  <xdr:twoCellAnchor>
    <xdr:from>
      <xdr:col>34</xdr:col>
      <xdr:colOff>381000</xdr:colOff>
      <xdr:row>4</xdr:row>
      <xdr:rowOff>0</xdr:rowOff>
    </xdr:from>
    <xdr:to>
      <xdr:col>39</xdr:col>
      <xdr:colOff>238125</xdr:colOff>
      <xdr:row>8</xdr:row>
      <xdr:rowOff>161926</xdr:rowOff>
    </xdr:to>
    <xdr:grpSp>
      <xdr:nvGrpSpPr>
        <xdr:cNvPr id="60" name="Group 59">
          <a:extLst>
            <a:ext uri="{FF2B5EF4-FFF2-40B4-BE49-F238E27FC236}">
              <a16:creationId xmlns:a16="http://schemas.microsoft.com/office/drawing/2014/main" id="{80E97059-68E8-6C0B-C66A-6FBD2D848D42}"/>
            </a:ext>
          </a:extLst>
        </xdr:cNvPr>
        <xdr:cNvGrpSpPr/>
      </xdr:nvGrpSpPr>
      <xdr:grpSpPr>
        <a:xfrm>
          <a:off x="9115425" y="762000"/>
          <a:ext cx="3038475" cy="923926"/>
          <a:chOff x="9115425" y="762000"/>
          <a:chExt cx="3038475" cy="923926"/>
        </a:xfrm>
      </xdr:grpSpPr>
      <xdr:sp macro="" textlink="">
        <xdr:nvSpPr>
          <xdr:cNvPr id="40" name="Rectangle: Rounded Corners 39">
            <a:extLst>
              <a:ext uri="{FF2B5EF4-FFF2-40B4-BE49-F238E27FC236}">
                <a16:creationId xmlns:a16="http://schemas.microsoft.com/office/drawing/2014/main" id="{785FA5EB-FF89-643F-1BE5-247ADF092E5E}"/>
              </a:ext>
            </a:extLst>
          </xdr:cNvPr>
          <xdr:cNvSpPr/>
        </xdr:nvSpPr>
        <xdr:spPr>
          <a:xfrm>
            <a:off x="9115425" y="762000"/>
            <a:ext cx="3038475" cy="923926"/>
          </a:xfrm>
          <a:prstGeom prst="roundRect">
            <a:avLst/>
          </a:prstGeom>
          <a:solidFill>
            <a:schemeClr val="bg1"/>
          </a:solidFill>
          <a:ln w="6350">
            <a:solidFill>
              <a:schemeClr val="bg1">
                <a:lumMod val="85000"/>
              </a:schemeClr>
            </a:solidFill>
          </a:ln>
          <a:effectLst>
            <a:outerShdw blurRad="825500" dist="127000" dir="5400000" sx="95000" sy="95000" algn="ctr" rotWithShape="0">
              <a:prstClr val="black">
                <a:alpha val="15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41" name="TextBox 40">
            <a:extLst>
              <a:ext uri="{FF2B5EF4-FFF2-40B4-BE49-F238E27FC236}">
                <a16:creationId xmlns:a16="http://schemas.microsoft.com/office/drawing/2014/main" id="{ACD4BDF7-C770-E1DA-FED3-8C3E90BA6FBC}"/>
              </a:ext>
            </a:extLst>
          </xdr:cNvPr>
          <xdr:cNvSpPr txBox="1"/>
        </xdr:nvSpPr>
        <xdr:spPr>
          <a:xfrm>
            <a:off x="9115426" y="787290"/>
            <a:ext cx="1743074" cy="2444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100" b="1" baseline="0"/>
              <a:t>Period Savings Rate Balance</a:t>
            </a:r>
            <a:r>
              <a:rPr lang="en-IN" sz="1200" b="1" baseline="0"/>
              <a:t> </a:t>
            </a:r>
            <a:r>
              <a:rPr lang="en-IN" sz="1100" baseline="0"/>
              <a:t>	</a:t>
            </a:r>
          </a:p>
          <a:p>
            <a:endParaRPr lang="en-IN" sz="1100"/>
          </a:p>
        </xdr:txBody>
      </xdr:sp>
      <xdr:sp macro="" textlink="Calculations!E27">
        <xdr:nvSpPr>
          <xdr:cNvPr id="42" name="TextBox 41">
            <a:extLst>
              <a:ext uri="{FF2B5EF4-FFF2-40B4-BE49-F238E27FC236}">
                <a16:creationId xmlns:a16="http://schemas.microsoft.com/office/drawing/2014/main" id="{BE523598-FDBE-9748-2D83-18E518D8A717}"/>
              </a:ext>
            </a:extLst>
          </xdr:cNvPr>
          <xdr:cNvSpPr txBox="1"/>
        </xdr:nvSpPr>
        <xdr:spPr>
          <a:xfrm>
            <a:off x="10086975" y="1195191"/>
            <a:ext cx="598531" cy="21450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AA217FD8-E410-4AB0-9D0D-6986F3CAEC79}" type="TxLink">
              <a:rPr lang="en-US" sz="1200" b="1" i="0" u="none" strike="noStrike">
                <a:solidFill>
                  <a:schemeClr val="tx2">
                    <a:lumMod val="50000"/>
                    <a:lumOff val="50000"/>
                  </a:schemeClr>
                </a:solidFill>
                <a:latin typeface="Aptos Narrow"/>
              </a:rPr>
              <a:pPr algn="ctr"/>
              <a:t>35.1%</a:t>
            </a:fld>
            <a:endParaRPr lang="en-IN" sz="1400" b="1">
              <a:solidFill>
                <a:schemeClr val="tx2">
                  <a:lumMod val="50000"/>
                  <a:lumOff val="50000"/>
                </a:schemeClr>
              </a:solidFill>
            </a:endParaRPr>
          </a:p>
        </xdr:txBody>
      </xdr:sp>
      <xdr:sp macro="" textlink="">
        <xdr:nvSpPr>
          <xdr:cNvPr id="43" name="TextBox 42">
            <a:extLst>
              <a:ext uri="{FF2B5EF4-FFF2-40B4-BE49-F238E27FC236}">
                <a16:creationId xmlns:a16="http://schemas.microsoft.com/office/drawing/2014/main" id="{DB68049E-4694-7B33-B02A-FB632A768FE3}"/>
              </a:ext>
            </a:extLst>
          </xdr:cNvPr>
          <xdr:cNvSpPr txBox="1"/>
        </xdr:nvSpPr>
        <xdr:spPr>
          <a:xfrm>
            <a:off x="9132417" y="1162050"/>
            <a:ext cx="964084" cy="2190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050" b="0" i="0" u="none" strike="noStrike">
                <a:solidFill>
                  <a:srgbClr val="000000"/>
                </a:solidFill>
                <a:latin typeface="Aptos Narrow"/>
              </a:rPr>
              <a:t>You</a:t>
            </a:r>
            <a:r>
              <a:rPr lang="en-IN" sz="1050" b="0" i="0" u="none" strike="noStrike" baseline="0">
                <a:solidFill>
                  <a:srgbClr val="000000"/>
                </a:solidFill>
                <a:latin typeface="Aptos Narrow"/>
              </a:rPr>
              <a:t> are saving</a:t>
            </a:r>
            <a:endParaRPr lang="en-IN" sz="1050" b="0" i="0" u="none" strike="noStrike">
              <a:solidFill>
                <a:srgbClr val="000000"/>
              </a:solidFill>
              <a:latin typeface="Aptos Narrow"/>
            </a:endParaRPr>
          </a:p>
        </xdr:txBody>
      </xdr:sp>
      <xdr:sp macro="" textlink="">
        <xdr:nvSpPr>
          <xdr:cNvPr id="59" name="TextBox 58">
            <a:extLst>
              <a:ext uri="{FF2B5EF4-FFF2-40B4-BE49-F238E27FC236}">
                <a16:creationId xmlns:a16="http://schemas.microsoft.com/office/drawing/2014/main" id="{17481947-4466-4039-AAD5-9587BE9C6FF1}"/>
              </a:ext>
            </a:extLst>
          </xdr:cNvPr>
          <xdr:cNvSpPr txBox="1"/>
        </xdr:nvSpPr>
        <xdr:spPr>
          <a:xfrm>
            <a:off x="10637366" y="1162050"/>
            <a:ext cx="973609" cy="21450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050" b="0" i="0" u="none" strike="noStrike">
                <a:solidFill>
                  <a:srgbClr val="000000"/>
                </a:solidFill>
                <a:latin typeface="Aptos Narrow"/>
              </a:rPr>
              <a:t>of</a:t>
            </a:r>
            <a:r>
              <a:rPr lang="en-IN" sz="1050" b="0" i="0" u="none" strike="noStrike" baseline="0">
                <a:solidFill>
                  <a:srgbClr val="000000"/>
                </a:solidFill>
                <a:latin typeface="Aptos Narrow"/>
              </a:rPr>
              <a:t> your income</a:t>
            </a:r>
            <a:endParaRPr lang="en-IN" sz="1050" b="0" i="0" u="none" strike="noStrike">
              <a:solidFill>
                <a:srgbClr val="000000"/>
              </a:solidFill>
              <a:latin typeface="Aptos Narrow"/>
            </a:endParaRPr>
          </a:p>
        </xdr:txBody>
      </xdr:sp>
    </xdr:grp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AF4C3A-17AA-4780-BA7E-E0D173E90B78}" name="Income" displayName="Income" ref="C9:C13" totalsRowShown="0" headerRowDxfId="109" dataDxfId="108">
  <autoFilter ref="C9:C13" xr:uid="{3AAF4C3A-17AA-4780-BA7E-E0D173E90B78}">
    <filterColumn colId="0" hiddenButton="1"/>
  </autoFilter>
  <tableColumns count="1">
    <tableColumn id="1" xr3:uid="{CABC4565-B8D2-4AE4-95A5-B28B09C0F9FC}" name="Income" dataDxfId="107"/>
  </tableColumns>
  <tableStyleInfo name="Income Table Sty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D9D90A-7907-47D0-8B87-4489D40CDE4B}" name="Expenses" displayName="Expenses" ref="C26:C35" totalsRowShown="0" headerRowDxfId="106" dataDxfId="105">
  <autoFilter ref="C26:C35" xr:uid="{B9D9D90A-7907-47D0-8B87-4489D40CDE4B}">
    <filterColumn colId="0" hiddenButton="1"/>
  </autoFilter>
  <tableColumns count="1">
    <tableColumn id="1" xr3:uid="{6F8C196B-7F38-4429-8CAA-C07D26D361EA}" name=" Expenses" dataDxfId="104"/>
  </tableColumns>
  <tableStyleInfo name="Expenses Table Style 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FA74929-B77A-4A81-8B12-F5F29CF1B76E}" name="Savings" displayName="Savings" ref="C43:C52" totalsRowShown="0" headerRowDxfId="103" dataDxfId="102">
  <autoFilter ref="C43:C52" xr:uid="{7FA74929-B77A-4A81-8B12-F5F29CF1B76E}">
    <filterColumn colId="0" hiddenButton="1"/>
  </autoFilter>
  <tableColumns count="1">
    <tableColumn id="1" xr3:uid="{1D6BD9DB-1554-4DFF-9990-FD88CD699B3E}" name=" Savings" dataDxfId="101"/>
  </tableColumns>
  <tableStyleInfo name="Savings Table Style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2ACAA38-61AF-47C2-AB51-AA3EB694BEA8}" name="Tracking" displayName="Tracking" ref="C11:H48" totalsRowShown="0" headerRowDxfId="100" dataDxfId="99">
  <autoFilter ref="C11:H48" xr:uid="{52ACAA38-61AF-47C2-AB51-AA3EB694BEA8}"/>
  <sortState xmlns:xlrd2="http://schemas.microsoft.com/office/spreadsheetml/2017/richdata2" ref="C12:H27">
    <sortCondition ref="C11:C27"/>
  </sortState>
  <tableColumns count="6">
    <tableColumn id="1" xr3:uid="{873AD849-CA81-4FF0-A7B4-C674CBB433D4}" name="Date" dataDxfId="98"/>
    <tableColumn id="2" xr3:uid="{C2C4873A-2B3A-4C63-B55C-C8E874FC8F56}" name="Type" dataDxfId="97"/>
    <tableColumn id="3" xr3:uid="{06AE424A-733E-4BB4-8F3E-793B7C1CA3E5}" name="Categories" dataDxfId="96"/>
    <tableColumn id="4" xr3:uid="{5A57AD8D-F8E0-4FB8-A7D8-41587EC2811E}" name="Amount" dataDxfId="95" dataCellStyle="Comma"/>
    <tableColumn id="5" xr3:uid="{ABD6228F-E30E-44B9-90B3-B0655CE570A7}" name="Details" dataDxfId="94"/>
    <tableColumn id="6" xr3:uid="{B06B3AC8-2AFA-4563-B531-96085DCAB1FA}" name="Balance" dataDxfId="93" dataCellStyle="Comma">
      <calculatedColumnFormula array="1">SUMPRODUCT(Tracking[Amount],--(Tracking[Date]&lt;=Tracking[[#This Row],[Date]]),(Tracking[Type]&lt;&gt;"Income")*(-1)+(Tracking[Type]="Income"))</calculatedColumnFormula>
    </tableColumn>
  </tableColumns>
  <tableStyleInfo name="Tracking Table Sty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8C841F3-F221-4C98-B399-68048C0D1742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8d8b4e20-9d2e-4fc5-940d-4fadfe205ae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054FA-6C6A-4B5B-A6A3-9C3CF601191F}">
  <dimension ref="A1:Z21"/>
  <sheetViews>
    <sheetView showGridLines="0" tabSelected="1" zoomScaleNormal="100" workbookViewId="0">
      <selection activeCell="K22" sqref="K22"/>
    </sheetView>
  </sheetViews>
  <sheetFormatPr defaultRowHeight="15" x14ac:dyDescent="0.25"/>
  <cols>
    <col min="1" max="1" width="13" customWidth="1"/>
    <col min="2" max="2" width="5" customWidth="1"/>
    <col min="3" max="3" width="2.7109375" customWidth="1"/>
    <col min="4" max="4" width="30.5703125" customWidth="1"/>
    <col min="5" max="5" width="22.5703125" bestFit="1" customWidth="1"/>
    <col min="6" max="6" width="2" customWidth="1"/>
    <col min="7" max="7" width="61" customWidth="1"/>
    <col min="8" max="8" width="3.140625" customWidth="1"/>
  </cols>
  <sheetData>
    <row r="1" spans="1:26" x14ac:dyDescent="0.25">
      <c r="A1" s="106" t="s">
        <v>1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 spans="1:26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</row>
    <row r="3" spans="1:26" x14ac:dyDescent="0.25">
      <c r="A3" s="106"/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</row>
    <row r="6" spans="1:26" x14ac:dyDescent="0.25">
      <c r="C6" s="107" t="s">
        <v>2</v>
      </c>
      <c r="D6" s="108"/>
      <c r="E6" s="108"/>
      <c r="F6" s="108"/>
      <c r="G6" s="108"/>
      <c r="H6" s="108"/>
    </row>
    <row r="7" spans="1:26" x14ac:dyDescent="0.25">
      <c r="C7" s="2"/>
      <c r="H7" s="3"/>
    </row>
    <row r="8" spans="1:26" x14ac:dyDescent="0.25">
      <c r="C8" s="2"/>
      <c r="D8" s="7" t="s">
        <v>3</v>
      </c>
      <c r="E8" s="8">
        <v>2026</v>
      </c>
      <c r="G8" s="9" t="s">
        <v>4</v>
      </c>
      <c r="H8" s="3"/>
    </row>
    <row r="9" spans="1:26" x14ac:dyDescent="0.25">
      <c r="C9" s="4"/>
      <c r="D9" s="5"/>
      <c r="E9" s="5"/>
      <c r="F9" s="5"/>
      <c r="G9" s="5"/>
      <c r="H9" s="6"/>
      <c r="J9" s="10"/>
    </row>
    <row r="17" spans="3:9" x14ac:dyDescent="0.25">
      <c r="C17" s="107" t="s">
        <v>120</v>
      </c>
      <c r="D17" s="108"/>
      <c r="E17" s="108"/>
      <c r="F17" s="108"/>
      <c r="G17" s="108"/>
      <c r="H17" s="108"/>
    </row>
    <row r="18" spans="3:9" x14ac:dyDescent="0.25">
      <c r="C18" s="2"/>
      <c r="H18" s="3"/>
    </row>
    <row r="19" spans="3:9" x14ac:dyDescent="0.25">
      <c r="C19" s="2"/>
      <c r="D19" s="7" t="s">
        <v>119</v>
      </c>
      <c r="G19" s="86" t="s">
        <v>123</v>
      </c>
      <c r="H19" s="3"/>
    </row>
    <row r="20" spans="3:9" x14ac:dyDescent="0.25">
      <c r="C20" s="90"/>
      <c r="D20" t="s">
        <v>121</v>
      </c>
      <c r="E20" s="8" t="s">
        <v>122</v>
      </c>
      <c r="G20" s="86" t="s">
        <v>125</v>
      </c>
      <c r="H20" s="3"/>
      <c r="I20" s="91"/>
    </row>
    <row r="21" spans="3:9" x14ac:dyDescent="0.25">
      <c r="C21" s="89"/>
      <c r="D21" s="87"/>
      <c r="E21" s="87"/>
      <c r="F21" s="87"/>
      <c r="G21" s="88" t="s">
        <v>124</v>
      </c>
      <c r="H21" s="92"/>
      <c r="I21" s="91"/>
    </row>
  </sheetData>
  <mergeCells count="3">
    <mergeCell ref="A1:Z3"/>
    <mergeCell ref="C6:H6"/>
    <mergeCell ref="C17:H17"/>
  </mergeCells>
  <dataValidations count="1">
    <dataValidation type="list" allowBlank="1" showInputMessage="1" showErrorMessage="1" sqref="E20" xr:uid="{77BD0952-5884-483F-A954-E63F9C1D0A37}">
      <formula1>"% allocated to Savings,% of Income after Expenses"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03806-7666-434C-9E5D-A08FA513F5B7}">
  <dimension ref="A1:HK58"/>
  <sheetViews>
    <sheetView showGridLines="0" zoomScaleNormal="10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14" sqref="A14:XFD23"/>
    </sheetView>
  </sheetViews>
  <sheetFormatPr defaultRowHeight="15" outlineLevelCol="1" x14ac:dyDescent="0.25"/>
  <cols>
    <col min="1" max="1" width="4.7109375" customWidth="1"/>
    <col min="2" max="2" width="3.42578125" customWidth="1"/>
    <col min="3" max="3" width="42.28515625" customWidth="1"/>
    <col min="4" max="4" width="2.28515625" customWidth="1"/>
    <col min="5" max="5" width="10.42578125" customWidth="1" outlineLevel="1"/>
    <col min="6" max="16" width="10.140625" customWidth="1" outlineLevel="1"/>
    <col min="17" max="17" width="11.42578125" bestFit="1" customWidth="1"/>
    <col min="18" max="18" width="2.140625" customWidth="1"/>
    <col min="19" max="19" width="10.42578125" hidden="1" customWidth="1" outlineLevel="1"/>
    <col min="20" max="30" width="10.140625" hidden="1" customWidth="1" outlineLevel="1"/>
    <col min="31" max="31" width="10.42578125" bestFit="1" customWidth="1" collapsed="1"/>
    <col min="32" max="32" width="2.140625" customWidth="1"/>
    <col min="33" max="33" width="10.42578125" hidden="1" customWidth="1" outlineLevel="1"/>
    <col min="34" max="44" width="10.140625" hidden="1" customWidth="1" outlineLevel="1"/>
    <col min="45" max="45" width="10.42578125" bestFit="1" customWidth="1" collapsed="1"/>
    <col min="46" max="46" width="2.140625" customWidth="1"/>
    <col min="47" max="47" width="10.42578125" hidden="1" customWidth="1" outlineLevel="1"/>
    <col min="48" max="58" width="10.140625" hidden="1" customWidth="1" outlineLevel="1"/>
    <col min="59" max="59" width="10.42578125" bestFit="1" customWidth="1" collapsed="1"/>
    <col min="60" max="60" width="2.140625" customWidth="1"/>
    <col min="61" max="61" width="10.42578125" hidden="1" customWidth="1" outlineLevel="1"/>
    <col min="62" max="72" width="10.140625" hidden="1" customWidth="1" outlineLevel="1"/>
    <col min="73" max="73" width="10.42578125" bestFit="1" customWidth="1" collapsed="1"/>
    <col min="74" max="74" width="2.140625" customWidth="1"/>
    <col min="75" max="75" width="10.42578125" hidden="1" customWidth="1" outlineLevel="1"/>
    <col min="76" max="86" width="10.140625" hidden="1" customWidth="1" outlineLevel="1"/>
    <col min="87" max="87" width="10.42578125" bestFit="1" customWidth="1" collapsed="1"/>
    <col min="88" max="88" width="2.140625" customWidth="1"/>
    <col min="89" max="89" width="10.42578125" hidden="1" customWidth="1" outlineLevel="1"/>
    <col min="90" max="100" width="10.140625" hidden="1" customWidth="1" outlineLevel="1"/>
    <col min="101" max="101" width="10.42578125" bestFit="1" customWidth="1" collapsed="1"/>
    <col min="102" max="102" width="2.140625" customWidth="1"/>
    <col min="103" max="103" width="10.42578125" hidden="1" customWidth="1" outlineLevel="1"/>
    <col min="104" max="114" width="10.140625" hidden="1" customWidth="1" outlineLevel="1"/>
    <col min="115" max="115" width="10.42578125" bestFit="1" customWidth="1" collapsed="1"/>
    <col min="116" max="116" width="2.140625" customWidth="1"/>
    <col min="117" max="117" width="10.42578125" hidden="1" customWidth="1" outlineLevel="1"/>
    <col min="118" max="128" width="10.140625" hidden="1" customWidth="1" outlineLevel="1"/>
    <col min="129" max="129" width="10.42578125" bestFit="1" customWidth="1" collapsed="1"/>
    <col min="130" max="130" width="2.140625" customWidth="1"/>
    <col min="131" max="131" width="10.42578125" hidden="1" customWidth="1" outlineLevel="1"/>
    <col min="132" max="142" width="10.140625" hidden="1" customWidth="1" outlineLevel="1"/>
    <col min="143" max="143" width="10.42578125" bestFit="1" customWidth="1" collapsed="1"/>
    <col min="144" max="144" width="2.140625" customWidth="1"/>
    <col min="145" max="145" width="10.42578125" hidden="1" customWidth="1" outlineLevel="1"/>
    <col min="146" max="156" width="10.140625" hidden="1" customWidth="1" outlineLevel="1"/>
    <col min="157" max="157" width="10.42578125" bestFit="1" customWidth="1" collapsed="1"/>
    <col min="158" max="158" width="2.140625" customWidth="1"/>
  </cols>
  <sheetData>
    <row r="1" spans="1:219" ht="15" customHeight="1" x14ac:dyDescent="0.25">
      <c r="A1" s="110" t="s">
        <v>5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  <c r="BA1" s="110"/>
      <c r="BB1" s="110"/>
      <c r="BC1" s="110"/>
      <c r="BD1" s="110"/>
      <c r="BE1" s="110"/>
      <c r="BF1" s="110"/>
      <c r="BG1" s="110"/>
      <c r="BH1" s="110"/>
      <c r="BI1" s="110"/>
      <c r="BJ1" s="110"/>
      <c r="BK1" s="110"/>
      <c r="BL1" s="110"/>
      <c r="BM1" s="110"/>
      <c r="BN1" s="110"/>
      <c r="BO1" s="110"/>
      <c r="BP1" s="110"/>
      <c r="BQ1" s="110"/>
      <c r="BR1" s="110"/>
      <c r="BS1" s="110"/>
      <c r="BT1" s="110"/>
      <c r="BU1" s="110"/>
      <c r="BV1" s="111"/>
      <c r="BW1" s="111"/>
      <c r="BX1" s="111"/>
      <c r="BY1" s="111"/>
      <c r="BZ1" s="111"/>
      <c r="CA1" s="111"/>
      <c r="CB1" s="111"/>
      <c r="CC1" s="111"/>
      <c r="CD1" s="111"/>
      <c r="CE1" s="111"/>
      <c r="CF1" s="111"/>
      <c r="CG1" s="111"/>
      <c r="CH1" s="111"/>
      <c r="CI1" s="111"/>
      <c r="CJ1" s="111"/>
      <c r="CK1" s="111"/>
      <c r="CL1" s="111"/>
      <c r="CM1" s="111"/>
      <c r="CN1" s="111"/>
      <c r="CO1" s="111"/>
      <c r="CP1" s="111"/>
      <c r="CQ1" s="111"/>
      <c r="CR1" s="111"/>
      <c r="CS1" s="111"/>
      <c r="CT1" s="111"/>
      <c r="CU1" s="111"/>
      <c r="CV1" s="111"/>
      <c r="CW1" s="111"/>
      <c r="CX1" s="111"/>
      <c r="CY1" s="111"/>
      <c r="CZ1" s="111"/>
      <c r="DA1" s="111"/>
      <c r="DB1" s="111"/>
      <c r="DC1" s="111"/>
      <c r="DD1" s="111"/>
      <c r="DE1" s="111"/>
      <c r="DF1" s="111"/>
      <c r="DG1" s="111"/>
      <c r="DH1" s="111"/>
      <c r="DI1" s="111"/>
      <c r="DJ1" s="111"/>
      <c r="DK1" s="111"/>
      <c r="DL1" s="111"/>
      <c r="DM1" s="111"/>
      <c r="DN1" s="111"/>
      <c r="DO1" s="111"/>
      <c r="DP1" s="111"/>
      <c r="DQ1" s="111"/>
      <c r="DR1" s="111"/>
      <c r="DS1" s="111"/>
      <c r="DT1" s="111"/>
      <c r="DU1" s="111"/>
      <c r="DV1" s="111"/>
      <c r="DW1" s="111"/>
      <c r="DX1" s="111"/>
      <c r="DY1" s="111"/>
      <c r="DZ1" s="111"/>
      <c r="EA1" s="111"/>
      <c r="EB1" s="111"/>
      <c r="EC1" s="111"/>
      <c r="ED1" s="111"/>
      <c r="EE1" s="111"/>
      <c r="EF1" s="111"/>
      <c r="EG1" s="111"/>
      <c r="EH1" s="111"/>
      <c r="EI1" s="111"/>
      <c r="EJ1" s="111"/>
      <c r="EK1" s="111"/>
      <c r="EL1" s="111"/>
      <c r="EM1" s="111"/>
      <c r="EN1" s="111"/>
      <c r="EO1" s="111"/>
      <c r="EP1" s="111"/>
      <c r="EQ1" s="111"/>
      <c r="ER1" s="111"/>
      <c r="ES1" s="111"/>
      <c r="ET1" s="111"/>
      <c r="EU1" s="111"/>
      <c r="EV1" s="111"/>
      <c r="EW1" s="111"/>
      <c r="EX1" s="111"/>
      <c r="EY1" s="111"/>
      <c r="EZ1" s="111"/>
      <c r="FA1" s="111"/>
      <c r="FB1" s="111"/>
      <c r="FC1" s="111"/>
      <c r="FD1" s="111"/>
      <c r="FE1" s="111"/>
      <c r="FF1" s="111"/>
      <c r="FG1" s="111"/>
      <c r="FH1" s="111"/>
      <c r="FI1" s="111"/>
      <c r="FJ1" s="111"/>
      <c r="FK1" s="111"/>
      <c r="FL1" s="111"/>
      <c r="FM1" s="111"/>
      <c r="FN1" s="111"/>
      <c r="FO1" s="111"/>
      <c r="FP1" s="111"/>
      <c r="FQ1" s="111"/>
      <c r="FR1" s="111"/>
      <c r="FS1" s="111"/>
      <c r="FT1" s="111"/>
      <c r="FU1" s="111"/>
      <c r="FV1" s="111"/>
      <c r="FW1" s="111"/>
      <c r="FX1" s="111"/>
      <c r="FY1" s="111"/>
      <c r="FZ1" s="111"/>
      <c r="GA1" s="111"/>
      <c r="GB1" s="111"/>
      <c r="GC1" s="111"/>
      <c r="GD1" s="111"/>
      <c r="GE1" s="111"/>
      <c r="GF1" s="111"/>
      <c r="GG1" s="111"/>
      <c r="GH1" s="111"/>
      <c r="GI1" s="111"/>
      <c r="GJ1" s="111"/>
      <c r="GK1" s="111"/>
      <c r="GL1" s="111"/>
      <c r="GM1" s="111"/>
      <c r="GN1" s="111"/>
      <c r="GO1" s="111"/>
      <c r="GP1" s="111"/>
      <c r="GQ1" s="111"/>
      <c r="GR1" s="111"/>
      <c r="GS1" s="111"/>
      <c r="GT1" s="111"/>
      <c r="GU1" s="111"/>
      <c r="GV1" s="111"/>
      <c r="GW1" s="111"/>
      <c r="GX1" s="111"/>
      <c r="GY1" s="111"/>
      <c r="GZ1" s="111"/>
      <c r="HA1" s="111"/>
      <c r="HB1" s="111"/>
      <c r="HC1" s="111"/>
      <c r="HD1" s="111"/>
      <c r="HE1" s="111"/>
      <c r="HF1" s="111"/>
      <c r="HG1" s="111"/>
      <c r="HH1" s="111"/>
      <c r="HI1" s="111"/>
      <c r="HJ1" s="111"/>
      <c r="HK1" s="111"/>
    </row>
    <row r="2" spans="1:219" x14ac:dyDescent="0.25">
      <c r="A2" s="110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0"/>
      <c r="AD2" s="110"/>
      <c r="AE2" s="110"/>
      <c r="AF2" s="110"/>
      <c r="AG2" s="110"/>
      <c r="AH2" s="110"/>
      <c r="AI2" s="110"/>
      <c r="AJ2" s="110"/>
      <c r="AK2" s="110"/>
      <c r="AL2" s="110"/>
      <c r="AM2" s="110"/>
      <c r="AN2" s="110"/>
      <c r="AO2" s="110"/>
      <c r="AP2" s="110"/>
      <c r="AQ2" s="110"/>
      <c r="AR2" s="110"/>
      <c r="AS2" s="110"/>
      <c r="AT2" s="110"/>
      <c r="AU2" s="110"/>
      <c r="AV2" s="110"/>
      <c r="AW2" s="110"/>
      <c r="AX2" s="110"/>
      <c r="AY2" s="110"/>
      <c r="AZ2" s="110"/>
      <c r="BA2" s="110"/>
      <c r="BB2" s="110"/>
      <c r="BC2" s="110"/>
      <c r="BD2" s="110"/>
      <c r="BE2" s="110"/>
      <c r="BF2" s="110"/>
      <c r="BG2" s="110"/>
      <c r="BH2" s="110"/>
      <c r="BI2" s="110"/>
      <c r="BJ2" s="110"/>
      <c r="BK2" s="110"/>
      <c r="BL2" s="110"/>
      <c r="BM2" s="110"/>
      <c r="BN2" s="110"/>
      <c r="BO2" s="110"/>
      <c r="BP2" s="110"/>
      <c r="BQ2" s="110"/>
      <c r="BR2" s="110"/>
      <c r="BS2" s="110"/>
      <c r="BT2" s="110"/>
      <c r="BU2" s="110"/>
      <c r="BV2" s="111"/>
      <c r="BW2" s="111"/>
      <c r="BX2" s="111"/>
      <c r="BY2" s="111"/>
      <c r="BZ2" s="111"/>
      <c r="CA2" s="111"/>
      <c r="CB2" s="111"/>
      <c r="CC2" s="111"/>
      <c r="CD2" s="111"/>
      <c r="CE2" s="111"/>
      <c r="CF2" s="111"/>
      <c r="CG2" s="111"/>
      <c r="CH2" s="111"/>
      <c r="CI2" s="111"/>
      <c r="CJ2" s="111"/>
      <c r="CK2" s="111"/>
      <c r="CL2" s="111"/>
      <c r="CM2" s="111"/>
      <c r="CN2" s="111"/>
      <c r="CO2" s="111"/>
      <c r="CP2" s="111"/>
      <c r="CQ2" s="111"/>
      <c r="CR2" s="111"/>
      <c r="CS2" s="111"/>
      <c r="CT2" s="111"/>
      <c r="CU2" s="111"/>
      <c r="CV2" s="111"/>
      <c r="CW2" s="111"/>
      <c r="CX2" s="111"/>
      <c r="CY2" s="111"/>
      <c r="CZ2" s="111"/>
      <c r="DA2" s="111"/>
      <c r="DB2" s="111"/>
      <c r="DC2" s="111"/>
      <c r="DD2" s="111"/>
      <c r="DE2" s="111"/>
      <c r="DF2" s="111"/>
      <c r="DG2" s="111"/>
      <c r="DH2" s="111"/>
      <c r="DI2" s="111"/>
      <c r="DJ2" s="111"/>
      <c r="DK2" s="111"/>
      <c r="DL2" s="111"/>
      <c r="DM2" s="111"/>
      <c r="DN2" s="111"/>
      <c r="DO2" s="111"/>
      <c r="DP2" s="111"/>
      <c r="DQ2" s="111"/>
      <c r="DR2" s="111"/>
      <c r="DS2" s="111"/>
      <c r="DT2" s="111"/>
      <c r="DU2" s="111"/>
      <c r="DV2" s="111"/>
      <c r="DW2" s="111"/>
      <c r="DX2" s="111"/>
      <c r="DY2" s="111"/>
      <c r="DZ2" s="111"/>
      <c r="EA2" s="111"/>
      <c r="EB2" s="111"/>
      <c r="EC2" s="111"/>
      <c r="ED2" s="111"/>
      <c r="EE2" s="111"/>
      <c r="EF2" s="111"/>
      <c r="EG2" s="111"/>
      <c r="EH2" s="111"/>
      <c r="EI2" s="111"/>
      <c r="EJ2" s="111"/>
      <c r="EK2" s="111"/>
      <c r="EL2" s="111"/>
      <c r="EM2" s="111"/>
      <c r="EN2" s="111"/>
      <c r="EO2" s="111"/>
      <c r="EP2" s="111"/>
      <c r="EQ2" s="111"/>
      <c r="ER2" s="111"/>
      <c r="ES2" s="111"/>
      <c r="ET2" s="111"/>
      <c r="EU2" s="111"/>
      <c r="EV2" s="111"/>
      <c r="EW2" s="111"/>
      <c r="EX2" s="111"/>
      <c r="EY2" s="111"/>
      <c r="EZ2" s="111"/>
      <c r="FA2" s="111"/>
      <c r="FB2" s="111"/>
      <c r="FC2" s="111"/>
      <c r="FD2" s="111"/>
      <c r="FE2" s="111"/>
      <c r="FF2" s="111"/>
      <c r="FG2" s="111"/>
      <c r="FH2" s="111"/>
      <c r="FI2" s="111"/>
      <c r="FJ2" s="111"/>
      <c r="FK2" s="111"/>
      <c r="FL2" s="111"/>
      <c r="FM2" s="111"/>
      <c r="FN2" s="111"/>
      <c r="FO2" s="111"/>
      <c r="FP2" s="111"/>
      <c r="FQ2" s="111"/>
      <c r="FR2" s="111"/>
      <c r="FS2" s="111"/>
      <c r="FT2" s="111"/>
      <c r="FU2" s="111"/>
      <c r="FV2" s="111"/>
      <c r="FW2" s="111"/>
      <c r="FX2" s="111"/>
      <c r="FY2" s="111"/>
      <c r="FZ2" s="111"/>
      <c r="GA2" s="111"/>
      <c r="GB2" s="111"/>
      <c r="GC2" s="111"/>
      <c r="GD2" s="111"/>
      <c r="GE2" s="111"/>
      <c r="GF2" s="111"/>
      <c r="GG2" s="111"/>
      <c r="GH2" s="111"/>
      <c r="GI2" s="111"/>
      <c r="GJ2" s="111"/>
      <c r="GK2" s="111"/>
      <c r="GL2" s="111"/>
      <c r="GM2" s="111"/>
      <c r="GN2" s="111"/>
      <c r="GO2" s="111"/>
      <c r="GP2" s="111"/>
      <c r="GQ2" s="111"/>
      <c r="GR2" s="111"/>
      <c r="GS2" s="111"/>
      <c r="GT2" s="111"/>
      <c r="GU2" s="111"/>
      <c r="GV2" s="111"/>
      <c r="GW2" s="111"/>
      <c r="GX2" s="111"/>
      <c r="GY2" s="111"/>
      <c r="GZ2" s="111"/>
      <c r="HA2" s="111"/>
      <c r="HB2" s="111"/>
      <c r="HC2" s="111"/>
      <c r="HD2" s="111"/>
      <c r="HE2" s="111"/>
      <c r="HF2" s="111"/>
      <c r="HG2" s="111"/>
      <c r="HH2" s="111"/>
      <c r="HI2" s="111"/>
      <c r="HJ2" s="111"/>
      <c r="HK2" s="111"/>
    </row>
    <row r="3" spans="1:219" x14ac:dyDescent="0.25">
      <c r="A3" s="110"/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0"/>
      <c r="AK3" s="110"/>
      <c r="AL3" s="110"/>
      <c r="AM3" s="110"/>
      <c r="AN3" s="110"/>
      <c r="AO3" s="110"/>
      <c r="AP3" s="110"/>
      <c r="AQ3" s="110"/>
      <c r="AR3" s="110"/>
      <c r="AS3" s="110"/>
      <c r="AT3" s="110"/>
      <c r="AU3" s="110"/>
      <c r="AV3" s="110"/>
      <c r="AW3" s="110"/>
      <c r="AX3" s="110"/>
      <c r="AY3" s="110"/>
      <c r="AZ3" s="110"/>
      <c r="BA3" s="110"/>
      <c r="BB3" s="110"/>
      <c r="BC3" s="110"/>
      <c r="BD3" s="110"/>
      <c r="BE3" s="110"/>
      <c r="BF3" s="110"/>
      <c r="BG3" s="110"/>
      <c r="BH3" s="110"/>
      <c r="BI3" s="110"/>
      <c r="BJ3" s="110"/>
      <c r="BK3" s="110"/>
      <c r="BL3" s="110"/>
      <c r="BM3" s="110"/>
      <c r="BN3" s="110"/>
      <c r="BO3" s="110"/>
      <c r="BP3" s="110"/>
      <c r="BQ3" s="110"/>
      <c r="BR3" s="110"/>
      <c r="BS3" s="110"/>
      <c r="BT3" s="110"/>
      <c r="BU3" s="110"/>
      <c r="BV3" s="111"/>
      <c r="BW3" s="111"/>
      <c r="BX3" s="111"/>
      <c r="BY3" s="111"/>
      <c r="BZ3" s="111"/>
      <c r="CA3" s="111"/>
      <c r="CB3" s="111"/>
      <c r="CC3" s="111"/>
      <c r="CD3" s="111"/>
      <c r="CE3" s="111"/>
      <c r="CF3" s="111"/>
      <c r="CG3" s="111"/>
      <c r="CH3" s="111"/>
      <c r="CI3" s="111"/>
      <c r="CJ3" s="111"/>
      <c r="CK3" s="111"/>
      <c r="CL3" s="111"/>
      <c r="CM3" s="111"/>
      <c r="CN3" s="111"/>
      <c r="CO3" s="111"/>
      <c r="CP3" s="111"/>
      <c r="CQ3" s="111"/>
      <c r="CR3" s="111"/>
      <c r="CS3" s="111"/>
      <c r="CT3" s="111"/>
      <c r="CU3" s="111"/>
      <c r="CV3" s="111"/>
      <c r="CW3" s="111"/>
      <c r="CX3" s="111"/>
      <c r="CY3" s="111"/>
      <c r="CZ3" s="111"/>
      <c r="DA3" s="111"/>
      <c r="DB3" s="111"/>
      <c r="DC3" s="111"/>
      <c r="DD3" s="111"/>
      <c r="DE3" s="111"/>
      <c r="DF3" s="111"/>
      <c r="DG3" s="111"/>
      <c r="DH3" s="111"/>
      <c r="DI3" s="111"/>
      <c r="DJ3" s="111"/>
      <c r="DK3" s="111"/>
      <c r="DL3" s="111"/>
      <c r="DM3" s="111"/>
      <c r="DN3" s="111"/>
      <c r="DO3" s="111"/>
      <c r="DP3" s="111"/>
      <c r="DQ3" s="111"/>
      <c r="DR3" s="111"/>
      <c r="DS3" s="111"/>
      <c r="DT3" s="111"/>
      <c r="DU3" s="111"/>
      <c r="DV3" s="111"/>
      <c r="DW3" s="111"/>
      <c r="DX3" s="111"/>
      <c r="DY3" s="111"/>
      <c r="DZ3" s="111"/>
      <c r="EA3" s="111"/>
      <c r="EB3" s="111"/>
      <c r="EC3" s="111"/>
      <c r="ED3" s="111"/>
      <c r="EE3" s="111"/>
      <c r="EF3" s="111"/>
      <c r="EG3" s="111"/>
      <c r="EH3" s="111"/>
      <c r="EI3" s="111"/>
      <c r="EJ3" s="111"/>
      <c r="EK3" s="111"/>
      <c r="EL3" s="111"/>
      <c r="EM3" s="111"/>
      <c r="EN3" s="111"/>
      <c r="EO3" s="111"/>
      <c r="EP3" s="111"/>
      <c r="EQ3" s="111"/>
      <c r="ER3" s="111"/>
      <c r="ES3" s="111"/>
      <c r="ET3" s="111"/>
      <c r="EU3" s="111"/>
      <c r="EV3" s="111"/>
      <c r="EW3" s="111"/>
      <c r="EX3" s="111"/>
      <c r="EY3" s="111"/>
      <c r="EZ3" s="111"/>
      <c r="FA3" s="111"/>
      <c r="FB3" s="111"/>
      <c r="FC3" s="111"/>
      <c r="FD3" s="111"/>
      <c r="FE3" s="111"/>
      <c r="FF3" s="111"/>
      <c r="FG3" s="111"/>
      <c r="FH3" s="111"/>
      <c r="FI3" s="111"/>
      <c r="FJ3" s="111"/>
      <c r="FK3" s="111"/>
      <c r="FL3" s="111"/>
      <c r="FM3" s="111"/>
      <c r="FN3" s="111"/>
      <c r="FO3" s="111"/>
      <c r="FP3" s="111"/>
      <c r="FQ3" s="111"/>
      <c r="FR3" s="111"/>
      <c r="FS3" s="111"/>
      <c r="FT3" s="111"/>
      <c r="FU3" s="111"/>
      <c r="FV3" s="111"/>
      <c r="FW3" s="111"/>
      <c r="FX3" s="111"/>
      <c r="FY3" s="111"/>
      <c r="FZ3" s="111"/>
      <c r="GA3" s="111"/>
      <c r="GB3" s="111"/>
      <c r="GC3" s="111"/>
      <c r="GD3" s="111"/>
      <c r="GE3" s="111"/>
      <c r="GF3" s="111"/>
      <c r="GG3" s="111"/>
      <c r="GH3" s="111"/>
      <c r="GI3" s="111"/>
      <c r="GJ3" s="111"/>
      <c r="GK3" s="111"/>
      <c r="GL3" s="111"/>
      <c r="GM3" s="111"/>
      <c r="GN3" s="111"/>
      <c r="GO3" s="111"/>
      <c r="GP3" s="111"/>
      <c r="GQ3" s="111"/>
      <c r="GR3" s="111"/>
      <c r="GS3" s="111"/>
      <c r="GT3" s="111"/>
      <c r="GU3" s="111"/>
      <c r="GV3" s="111"/>
      <c r="GW3" s="111"/>
      <c r="GX3" s="111"/>
      <c r="GY3" s="111"/>
      <c r="GZ3" s="111"/>
      <c r="HA3" s="111"/>
      <c r="HB3" s="111"/>
      <c r="HC3" s="111"/>
      <c r="HD3" s="111"/>
      <c r="HE3" s="111"/>
      <c r="HF3" s="111"/>
      <c r="HG3" s="111"/>
      <c r="HH3" s="111"/>
      <c r="HI3" s="111"/>
      <c r="HJ3" s="111"/>
      <c r="HK3" s="111"/>
    </row>
    <row r="5" spans="1:219" ht="21" customHeight="1" x14ac:dyDescent="0.25">
      <c r="C5" s="11" t="s">
        <v>6</v>
      </c>
      <c r="E5" s="109">
        <f>starting_year</f>
        <v>2026</v>
      </c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09"/>
      <c r="S5" s="109">
        <f>E5+1</f>
        <v>2027</v>
      </c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G5" s="109">
        <f>S5+1</f>
        <v>2028</v>
      </c>
      <c r="AH5" s="109"/>
      <c r="AI5" s="109"/>
      <c r="AJ5" s="109"/>
      <c r="AK5" s="109"/>
      <c r="AL5" s="109"/>
      <c r="AM5" s="109"/>
      <c r="AN5" s="109"/>
      <c r="AO5" s="109"/>
      <c r="AP5" s="109"/>
      <c r="AQ5" s="109"/>
      <c r="AR5" s="109"/>
      <c r="AS5" s="109"/>
      <c r="AU5" s="109">
        <f>AG5+1</f>
        <v>2029</v>
      </c>
      <c r="AV5" s="109"/>
      <c r="AW5" s="109"/>
      <c r="AX5" s="109"/>
      <c r="AY5" s="109"/>
      <c r="AZ5" s="109"/>
      <c r="BA5" s="109"/>
      <c r="BB5" s="109"/>
      <c r="BC5" s="109"/>
      <c r="BD5" s="109"/>
      <c r="BE5" s="109"/>
      <c r="BF5" s="109"/>
      <c r="BG5" s="109"/>
      <c r="BI5" s="109">
        <f>AU5+1</f>
        <v>2030</v>
      </c>
      <c r="BJ5" s="109"/>
      <c r="BK5" s="109"/>
      <c r="BL5" s="109"/>
      <c r="BM5" s="109"/>
      <c r="BN5" s="109"/>
      <c r="BO5" s="109"/>
      <c r="BP5" s="109"/>
      <c r="BQ5" s="109"/>
      <c r="BR5" s="109"/>
      <c r="BS5" s="109"/>
      <c r="BT5" s="109"/>
      <c r="BU5" s="109"/>
      <c r="BW5" s="109">
        <f>BI5+1</f>
        <v>2031</v>
      </c>
      <c r="BX5" s="109"/>
      <c r="BY5" s="109"/>
      <c r="BZ5" s="109"/>
      <c r="CA5" s="109"/>
      <c r="CB5" s="109"/>
      <c r="CC5" s="109"/>
      <c r="CD5" s="109"/>
      <c r="CE5" s="109"/>
      <c r="CF5" s="109"/>
      <c r="CG5" s="109"/>
      <c r="CH5" s="109"/>
      <c r="CI5" s="109"/>
      <c r="CK5" s="109">
        <f>BW5+1</f>
        <v>2032</v>
      </c>
      <c r="CL5" s="109"/>
      <c r="CM5" s="109"/>
      <c r="CN5" s="109"/>
      <c r="CO5" s="109"/>
      <c r="CP5" s="109"/>
      <c r="CQ5" s="109"/>
      <c r="CR5" s="109"/>
      <c r="CS5" s="109"/>
      <c r="CT5" s="109"/>
      <c r="CU5" s="109"/>
      <c r="CV5" s="109"/>
      <c r="CW5" s="109"/>
      <c r="CY5" s="109">
        <f>CK5+1</f>
        <v>2033</v>
      </c>
      <c r="CZ5" s="109"/>
      <c r="DA5" s="109"/>
      <c r="DB5" s="109"/>
      <c r="DC5" s="109"/>
      <c r="DD5" s="109"/>
      <c r="DE5" s="109"/>
      <c r="DF5" s="109"/>
      <c r="DG5" s="109"/>
      <c r="DH5" s="109"/>
      <c r="DI5" s="109"/>
      <c r="DJ5" s="109"/>
      <c r="DK5" s="109"/>
      <c r="DM5" s="109">
        <f>CY5+1</f>
        <v>2034</v>
      </c>
      <c r="DN5" s="109"/>
      <c r="DO5" s="109"/>
      <c r="DP5" s="109"/>
      <c r="DQ5" s="109"/>
      <c r="DR5" s="109"/>
      <c r="DS5" s="109"/>
      <c r="DT5" s="109"/>
      <c r="DU5" s="109"/>
      <c r="DV5" s="109"/>
      <c r="DW5" s="109"/>
      <c r="DX5" s="109"/>
      <c r="DY5" s="109"/>
      <c r="EA5" s="109">
        <f>DM5+1</f>
        <v>2035</v>
      </c>
      <c r="EB5" s="109"/>
      <c r="EC5" s="109"/>
      <c r="ED5" s="109"/>
      <c r="EE5" s="109"/>
      <c r="EF5" s="109"/>
      <c r="EG5" s="109"/>
      <c r="EH5" s="109"/>
      <c r="EI5" s="109"/>
      <c r="EJ5" s="109"/>
      <c r="EK5" s="109"/>
      <c r="EL5" s="109"/>
      <c r="EM5" s="109"/>
      <c r="EO5" s="109">
        <f>EA5+1</f>
        <v>2036</v>
      </c>
      <c r="EP5" s="109"/>
      <c r="EQ5" s="109"/>
      <c r="ER5" s="109"/>
      <c r="ES5" s="109"/>
      <c r="ET5" s="109"/>
      <c r="EU5" s="109"/>
      <c r="EV5" s="109"/>
      <c r="EW5" s="109"/>
      <c r="EX5" s="109"/>
      <c r="EY5" s="109"/>
      <c r="EZ5" s="109"/>
      <c r="FA5" s="109"/>
    </row>
    <row r="6" spans="1:219" x14ac:dyDescent="0.25">
      <c r="E6" s="27" t="str">
        <f ca="1">IF(E7=0,"Jan✓","Jan")</f>
        <v>Jan</v>
      </c>
      <c r="F6" s="27" t="str">
        <f ca="1">IF(F7=0,"Feb✓","Feb")</f>
        <v>Feb✓</v>
      </c>
      <c r="G6" s="27" t="str">
        <f ca="1">IF(G7=0,"Mar✓","Mar")</f>
        <v>Mar✓</v>
      </c>
      <c r="H6" s="27" t="str">
        <f ca="1">IF(H7=0,"Apr✓","Apr")</f>
        <v>Apr✓</v>
      </c>
      <c r="I6" s="27" t="str">
        <f ca="1">IF(I7=0,"May✓","May")</f>
        <v>May✓</v>
      </c>
      <c r="J6" s="27" t="str">
        <f ca="1">IF(J7=0,"Jun✓","Jun")</f>
        <v>Jun✓</v>
      </c>
      <c r="K6" s="27" t="str">
        <f ca="1">IF(K7=0,"Jul✓","Jul")</f>
        <v>Jul✓</v>
      </c>
      <c r="L6" s="27" t="str">
        <f ca="1">IF(L7=0,"Aug✓","Aug")</f>
        <v>Aug✓</v>
      </c>
      <c r="M6" s="27" t="str">
        <f ca="1">IF(M7=0,"Sep✓","Sep")</f>
        <v>Sep✓</v>
      </c>
      <c r="N6" s="27" t="str">
        <f ca="1">IF(N7=0,"Oct✓","Oct")</f>
        <v>Oct✓</v>
      </c>
      <c r="O6" s="27" t="str">
        <f ca="1">IF(O7=0,"Nov✓","Nov")</f>
        <v>Nov✓</v>
      </c>
      <c r="P6" s="27" t="str">
        <f ca="1">IF(P7=0,"Dec✓","Dec")</f>
        <v>Dec✓</v>
      </c>
      <c r="Q6" s="27" t="str">
        <f ca="1">IF(Q7=0,"Total✓","Total")</f>
        <v>Total</v>
      </c>
      <c r="S6" s="27" t="str">
        <f ca="1">IF(S7=0,"Jan✓","Jan")</f>
        <v>Jan✓</v>
      </c>
      <c r="T6" s="27" t="str">
        <f ca="1">IF(T7=0,"Feb✓","Feb")</f>
        <v>Feb✓</v>
      </c>
      <c r="U6" s="27" t="str">
        <f ca="1">IF(U7=0,"Mar✓","Mar")</f>
        <v>Mar✓</v>
      </c>
      <c r="V6" s="27" t="str">
        <f ca="1">IF(V7=0,"Apr✓","Apr")</f>
        <v>Apr✓</v>
      </c>
      <c r="W6" s="27" t="str">
        <f ca="1">IF(W7=0,"May✓","May")</f>
        <v>May✓</v>
      </c>
      <c r="X6" s="27" t="str">
        <f ca="1">IF(X7=0,"Jun✓","Jun")</f>
        <v>Jun✓</v>
      </c>
      <c r="Y6" s="27" t="str">
        <f ca="1">IF(Y7=0,"Jul✓","Jul")</f>
        <v>Jul✓</v>
      </c>
      <c r="Z6" s="27" t="str">
        <f ca="1">IF(Z7=0,"Aug✓","Aug")</f>
        <v>Aug✓</v>
      </c>
      <c r="AA6" s="27" t="str">
        <f ca="1">IF(AA7=0,"Sep✓","Sep")</f>
        <v>Sep✓</v>
      </c>
      <c r="AB6" s="27" t="str">
        <f ca="1">IF(AB7=0,"Oct✓","Oct")</f>
        <v>Oct✓</v>
      </c>
      <c r="AC6" s="27" t="str">
        <f ca="1">IF(AC7=0,"Nov✓","Nov")</f>
        <v>Nov✓</v>
      </c>
      <c r="AD6" s="27" t="str">
        <f ca="1">IF(AD7=0,"Dec✓","Dec")</f>
        <v>Dec✓</v>
      </c>
      <c r="AE6" s="27" t="str">
        <f ca="1">IF(AE7=0,"Total✓","Total")</f>
        <v>Total✓</v>
      </c>
      <c r="AG6" s="27" t="str">
        <f ca="1">IF(AG7=0,"Jan✓","Jan")</f>
        <v>Jan✓</v>
      </c>
      <c r="AH6" s="27" t="str">
        <f ca="1">IF(AH7=0,"Feb✓","Feb")</f>
        <v>Feb✓</v>
      </c>
      <c r="AI6" s="27" t="str">
        <f ca="1">IF(AI7=0,"Mar✓","Mar")</f>
        <v>Mar✓</v>
      </c>
      <c r="AJ6" s="27" t="str">
        <f ca="1">IF(AJ7=0,"Apr✓","Apr")</f>
        <v>Apr✓</v>
      </c>
      <c r="AK6" s="27" t="str">
        <f ca="1">IF(AK7=0,"May✓","May")</f>
        <v>May✓</v>
      </c>
      <c r="AL6" s="27" t="str">
        <f ca="1">IF(AL7=0,"Jun✓","Jun")</f>
        <v>Jun✓</v>
      </c>
      <c r="AM6" s="27" t="str">
        <f ca="1">IF(AM7=0,"Jul✓","Jul")</f>
        <v>Jul✓</v>
      </c>
      <c r="AN6" s="27" t="str">
        <f ca="1">IF(AN7=0,"Aug✓","Aug")</f>
        <v>Aug✓</v>
      </c>
      <c r="AO6" s="27" t="str">
        <f ca="1">IF(AO7=0,"Sep✓","Sep")</f>
        <v>Sep✓</v>
      </c>
      <c r="AP6" s="27" t="str">
        <f ca="1">IF(AP7=0,"Oct✓","Oct")</f>
        <v>Oct✓</v>
      </c>
      <c r="AQ6" s="27" t="str">
        <f ca="1">IF(AQ7=0,"Nov✓","Nov")</f>
        <v>Nov✓</v>
      </c>
      <c r="AR6" s="27" t="str">
        <f ca="1">IF(AR7=0,"Dec✓","Dec")</f>
        <v>Dec✓</v>
      </c>
      <c r="AS6" s="27" t="str">
        <f ca="1">IF(AS7=0,"Total✓","Total")</f>
        <v>Total✓</v>
      </c>
      <c r="AU6" s="27" t="str">
        <f ca="1">IF(AU7=0,"Jan✓","Jan")</f>
        <v>Jan✓</v>
      </c>
      <c r="AV6" s="27" t="str">
        <f ca="1">IF(AV7=0,"Feb✓","Feb")</f>
        <v>Feb✓</v>
      </c>
      <c r="AW6" s="27" t="str">
        <f ca="1">IF(AW7=0,"Mar✓","Mar")</f>
        <v>Mar✓</v>
      </c>
      <c r="AX6" s="27" t="str">
        <f ca="1">IF(AX7=0,"Apr✓","Apr")</f>
        <v>Apr✓</v>
      </c>
      <c r="AY6" s="27" t="str">
        <f ca="1">IF(AY7=0,"May✓","May")</f>
        <v>May✓</v>
      </c>
      <c r="AZ6" s="27" t="str">
        <f ca="1">IF(AZ7=0,"Jun✓","Jun")</f>
        <v>Jun✓</v>
      </c>
      <c r="BA6" s="27" t="str">
        <f ca="1">IF(BA7=0,"Jul✓","Jul")</f>
        <v>Jul✓</v>
      </c>
      <c r="BB6" s="27" t="str">
        <f ca="1">IF(BB7=0,"Aug✓","Aug")</f>
        <v>Aug✓</v>
      </c>
      <c r="BC6" s="27" t="str">
        <f ca="1">IF(BC7=0,"Sep✓","Sep")</f>
        <v>Sep✓</v>
      </c>
      <c r="BD6" s="27" t="str">
        <f ca="1">IF(BD7=0,"Oct✓","Oct")</f>
        <v>Oct✓</v>
      </c>
      <c r="BE6" s="27" t="str">
        <f ca="1">IF(BE7=0,"Nov✓","Nov")</f>
        <v>Nov✓</v>
      </c>
      <c r="BF6" s="27" t="str">
        <f ca="1">IF(BF7=0,"Dec✓","Dec")</f>
        <v>Dec✓</v>
      </c>
      <c r="BG6" s="27" t="str">
        <f ca="1">IF(BG7=0,"Total✓","Total")</f>
        <v>Total✓</v>
      </c>
      <c r="BI6" s="27" t="str">
        <f ca="1">IF(BI7=0,"Jan✓","Jan")</f>
        <v>Jan✓</v>
      </c>
      <c r="BJ6" s="27" t="str">
        <f ca="1">IF(BJ7=0,"Feb✓","Feb")</f>
        <v>Feb✓</v>
      </c>
      <c r="BK6" s="27" t="str">
        <f ca="1">IF(BK7=0,"Mar✓","Mar")</f>
        <v>Mar✓</v>
      </c>
      <c r="BL6" s="27" t="str">
        <f ca="1">IF(BL7=0,"Apr✓","Apr")</f>
        <v>Apr✓</v>
      </c>
      <c r="BM6" s="27" t="str">
        <f ca="1">IF(BM7=0,"May✓","May")</f>
        <v>May✓</v>
      </c>
      <c r="BN6" s="27" t="str">
        <f ca="1">IF(BN7=0,"Jun✓","Jun")</f>
        <v>Jun✓</v>
      </c>
      <c r="BO6" s="27" t="str">
        <f ca="1">IF(BO7=0,"Jul✓","Jul")</f>
        <v>Jul✓</v>
      </c>
      <c r="BP6" s="27" t="str">
        <f ca="1">IF(BP7=0,"Aug✓","Aug")</f>
        <v>Aug✓</v>
      </c>
      <c r="BQ6" s="27" t="str">
        <f ca="1">IF(BQ7=0,"Sep✓","Sep")</f>
        <v>Sep✓</v>
      </c>
      <c r="BR6" s="27" t="str">
        <f ca="1">IF(BR7=0,"Oct✓","Oct")</f>
        <v>Oct✓</v>
      </c>
      <c r="BS6" s="27" t="str">
        <f ca="1">IF(BS7=0,"Nov✓","Nov")</f>
        <v>Nov✓</v>
      </c>
      <c r="BT6" s="27" t="str">
        <f ca="1">IF(BT7=0,"Dec✓","Dec")</f>
        <v>Dec✓</v>
      </c>
      <c r="BU6" s="27" t="str">
        <f ca="1">IF(BU7=0,"Total✓","Total")</f>
        <v>Total✓</v>
      </c>
      <c r="BW6" s="27" t="str">
        <f ca="1">IF(BW7=0,"Jan✓","Jan")</f>
        <v>Jan✓</v>
      </c>
      <c r="BX6" s="27" t="str">
        <f ca="1">IF(BX7=0,"Feb✓","Feb")</f>
        <v>Feb✓</v>
      </c>
      <c r="BY6" s="27" t="str">
        <f ca="1">IF(BY7=0,"Mar✓","Mar")</f>
        <v>Mar✓</v>
      </c>
      <c r="BZ6" s="27" t="str">
        <f ca="1">IF(BZ7=0,"Apr✓","Apr")</f>
        <v>Apr✓</v>
      </c>
      <c r="CA6" s="27" t="str">
        <f ca="1">IF(CA7=0,"May✓","May")</f>
        <v>May✓</v>
      </c>
      <c r="CB6" s="27" t="str">
        <f ca="1">IF(CB7=0,"Jun✓","Jun")</f>
        <v>Jun✓</v>
      </c>
      <c r="CC6" s="27" t="str">
        <f ca="1">IF(CC7=0,"Jul✓","Jul")</f>
        <v>Jul✓</v>
      </c>
      <c r="CD6" s="27" t="str">
        <f ca="1">IF(CD7=0,"Aug✓","Aug")</f>
        <v>Aug✓</v>
      </c>
      <c r="CE6" s="27" t="str">
        <f ca="1">IF(CE7=0,"Sep✓","Sep")</f>
        <v>Sep✓</v>
      </c>
      <c r="CF6" s="27" t="str">
        <f ca="1">IF(CF7=0,"Oct✓","Oct")</f>
        <v>Oct✓</v>
      </c>
      <c r="CG6" s="27" t="str">
        <f ca="1">IF(CG7=0,"Nov✓","Nov")</f>
        <v>Nov✓</v>
      </c>
      <c r="CH6" s="27" t="str">
        <f ca="1">IF(CH7=0,"Dec✓","Dec")</f>
        <v>Dec✓</v>
      </c>
      <c r="CI6" s="27" t="str">
        <f ca="1">IF(CI7=0,"Total✓","Total")</f>
        <v>Total✓</v>
      </c>
      <c r="CK6" s="27" t="str">
        <f ca="1">IF(CK7=0,"Jan✓","Jan")</f>
        <v>Jan✓</v>
      </c>
      <c r="CL6" s="27" t="str">
        <f ca="1">IF(CL7=0,"Feb✓","Feb")</f>
        <v>Feb✓</v>
      </c>
      <c r="CM6" s="27" t="str">
        <f ca="1">IF(CM7=0,"Mar✓","Mar")</f>
        <v>Mar✓</v>
      </c>
      <c r="CN6" s="27" t="str">
        <f ca="1">IF(CN7=0,"Apr✓","Apr")</f>
        <v>Apr✓</v>
      </c>
      <c r="CO6" s="27" t="str">
        <f ca="1">IF(CO7=0,"May✓","May")</f>
        <v>May✓</v>
      </c>
      <c r="CP6" s="27" t="str">
        <f ca="1">IF(CP7=0,"Jun✓","Jun")</f>
        <v>Jun✓</v>
      </c>
      <c r="CQ6" s="27" t="str">
        <f ca="1">IF(CQ7=0,"Jul✓","Jul")</f>
        <v>Jul✓</v>
      </c>
      <c r="CR6" s="27" t="str">
        <f ca="1">IF(CR7=0,"Aug✓","Aug")</f>
        <v>Aug✓</v>
      </c>
      <c r="CS6" s="27" t="str">
        <f ca="1">IF(CS7=0,"Sep✓","Sep")</f>
        <v>Sep✓</v>
      </c>
      <c r="CT6" s="27" t="str">
        <f ca="1">IF(CT7=0,"Oct✓","Oct")</f>
        <v>Oct✓</v>
      </c>
      <c r="CU6" s="27" t="str">
        <f ca="1">IF(CU7=0,"Nov✓","Nov")</f>
        <v>Nov✓</v>
      </c>
      <c r="CV6" s="27" t="str">
        <f ca="1">IF(CV7=0,"Dec✓","Dec")</f>
        <v>Dec✓</v>
      </c>
      <c r="CW6" s="27" t="str">
        <f ca="1">IF(CW7=0,"Total✓","Total")</f>
        <v>Total✓</v>
      </c>
      <c r="CY6" s="27" t="str">
        <f ca="1">IF(CY7=0,"Jan✓","Jan")</f>
        <v>Jan✓</v>
      </c>
      <c r="CZ6" s="27" t="str">
        <f ca="1">IF(CZ7=0,"Feb✓","Feb")</f>
        <v>Feb✓</v>
      </c>
      <c r="DA6" s="27" t="str">
        <f ca="1">IF(DA7=0,"Mar✓","Mar")</f>
        <v>Mar✓</v>
      </c>
      <c r="DB6" s="27" t="str">
        <f ca="1">IF(DB7=0,"Apr✓","Apr")</f>
        <v>Apr✓</v>
      </c>
      <c r="DC6" s="27" t="str">
        <f ca="1">IF(DC7=0,"May✓","May")</f>
        <v>May✓</v>
      </c>
      <c r="DD6" s="27" t="str">
        <f ca="1">IF(DD7=0,"Jun✓","Jun")</f>
        <v>Jun✓</v>
      </c>
      <c r="DE6" s="27" t="str">
        <f ca="1">IF(DE7=0,"Jul✓","Jul")</f>
        <v>Jul✓</v>
      </c>
      <c r="DF6" s="27" t="str">
        <f ca="1">IF(DF7=0,"Aug✓","Aug")</f>
        <v>Aug✓</v>
      </c>
      <c r="DG6" s="27" t="str">
        <f ca="1">IF(DG7=0,"Sep✓","Sep")</f>
        <v>Sep✓</v>
      </c>
      <c r="DH6" s="27" t="str">
        <f ca="1">IF(DH7=0,"Oct✓","Oct")</f>
        <v>Oct✓</v>
      </c>
      <c r="DI6" s="27" t="str">
        <f ca="1">IF(DI7=0,"Nov✓","Nov")</f>
        <v>Nov✓</v>
      </c>
      <c r="DJ6" s="27" t="str">
        <f ca="1">IF(DJ7=0,"Dec✓","Dec")</f>
        <v>Dec✓</v>
      </c>
      <c r="DK6" s="27" t="str">
        <f ca="1">IF(DK7=0,"Total✓","Total")</f>
        <v>Total✓</v>
      </c>
      <c r="DM6" s="27" t="str">
        <f ca="1">IF(DM7=0,"Jan✓","Jan")</f>
        <v>Jan✓</v>
      </c>
      <c r="DN6" s="27" t="str">
        <f ca="1">IF(DN7=0,"Feb✓","Feb")</f>
        <v>Feb✓</v>
      </c>
      <c r="DO6" s="27" t="str">
        <f ca="1">IF(DO7=0,"Mar✓","Mar")</f>
        <v>Mar✓</v>
      </c>
      <c r="DP6" s="27" t="str">
        <f ca="1">IF(DP7=0,"Apr✓","Apr")</f>
        <v>Apr✓</v>
      </c>
      <c r="DQ6" s="27" t="str">
        <f ca="1">IF(DQ7=0,"May✓","May")</f>
        <v>May✓</v>
      </c>
      <c r="DR6" s="27" t="str">
        <f ca="1">IF(DR7=0,"Jun✓","Jun")</f>
        <v>Jun✓</v>
      </c>
      <c r="DS6" s="27" t="str">
        <f ca="1">IF(DS7=0,"Jul✓","Jul")</f>
        <v>Jul✓</v>
      </c>
      <c r="DT6" s="27" t="str">
        <f ca="1">IF(DT7=0,"Aug✓","Aug")</f>
        <v>Aug✓</v>
      </c>
      <c r="DU6" s="27" t="str">
        <f ca="1">IF(DU7=0,"Sep✓","Sep")</f>
        <v>Sep✓</v>
      </c>
      <c r="DV6" s="27" t="str">
        <f ca="1">IF(DV7=0,"Oct✓","Oct")</f>
        <v>Oct✓</v>
      </c>
      <c r="DW6" s="27" t="str">
        <f ca="1">IF(DW7=0,"Nov✓","Nov")</f>
        <v>Nov✓</v>
      </c>
      <c r="DX6" s="27" t="str">
        <f ca="1">IF(DX7=0,"Dec✓","Dec")</f>
        <v>Dec✓</v>
      </c>
      <c r="DY6" s="27" t="str">
        <f ca="1">IF(DY7=0,"Total✓","Total")</f>
        <v>Total✓</v>
      </c>
      <c r="EA6" s="27" t="str">
        <f ca="1">IF(EA7=0,"Jan✓","Jan")</f>
        <v>Jan✓</v>
      </c>
      <c r="EB6" s="27" t="str">
        <f ca="1">IF(EB7=0,"Feb✓","Feb")</f>
        <v>Feb✓</v>
      </c>
      <c r="EC6" s="27" t="str">
        <f ca="1">IF(EC7=0,"Mar✓","Mar")</f>
        <v>Mar✓</v>
      </c>
      <c r="ED6" s="27" t="str">
        <f ca="1">IF(ED7=0,"Apr✓","Apr")</f>
        <v>Apr✓</v>
      </c>
      <c r="EE6" s="27" t="str">
        <f ca="1">IF(EE7=0,"May✓","May")</f>
        <v>May✓</v>
      </c>
      <c r="EF6" s="27" t="str">
        <f ca="1">IF(EF7=0,"Jun✓","Jun")</f>
        <v>Jun✓</v>
      </c>
      <c r="EG6" s="27" t="str">
        <f ca="1">IF(EG7=0,"Jul✓","Jul")</f>
        <v>Jul✓</v>
      </c>
      <c r="EH6" s="27" t="str">
        <f ca="1">IF(EH7=0,"Aug✓","Aug")</f>
        <v>Aug✓</v>
      </c>
      <c r="EI6" s="27" t="str">
        <f ca="1">IF(EI7=0,"Sep✓","Sep")</f>
        <v>Sep✓</v>
      </c>
      <c r="EJ6" s="27" t="str">
        <f ca="1">IF(EJ7=0,"Oct✓","Oct")</f>
        <v>Oct✓</v>
      </c>
      <c r="EK6" s="27" t="str">
        <f ca="1">IF(EK7=0,"Nov✓","Nov")</f>
        <v>Nov✓</v>
      </c>
      <c r="EL6" s="27" t="str">
        <f ca="1">IF(EL7=0,"Dec✓","Dec")</f>
        <v>Dec✓</v>
      </c>
      <c r="EM6" s="27" t="str">
        <f ca="1">IF(EM7=0,"Total✓","Total")</f>
        <v>Total✓</v>
      </c>
      <c r="EO6" s="27" t="str">
        <f ca="1">IF(EO7=0,"Jan✓","Jan")</f>
        <v>Jan✓</v>
      </c>
      <c r="EP6" s="27" t="str">
        <f ca="1">IF(EP7=0,"Feb✓","Feb")</f>
        <v>Feb✓</v>
      </c>
      <c r="EQ6" s="27" t="str">
        <f ca="1">IF(EQ7=0,"Mar✓","Mar")</f>
        <v>Mar✓</v>
      </c>
      <c r="ER6" s="27" t="str">
        <f ca="1">IF(ER7=0,"Apr✓","Apr")</f>
        <v>Apr✓</v>
      </c>
      <c r="ES6" s="27" t="str">
        <f ca="1">IF(ES7=0,"May✓","May")</f>
        <v>May✓</v>
      </c>
      <c r="ET6" s="27" t="str">
        <f ca="1">IF(ET7=0,"Jun✓","Jun")</f>
        <v>Jun✓</v>
      </c>
      <c r="EU6" s="27" t="str">
        <f ca="1">IF(EU7=0,"Jul✓","Jul")</f>
        <v>Jul✓</v>
      </c>
      <c r="EV6" s="27" t="str">
        <f ca="1">IF(EV7=0,"Aug✓","Aug")</f>
        <v>Aug✓</v>
      </c>
      <c r="EW6" s="27" t="str">
        <f ca="1">IF(EW7=0,"Sep✓","Sep")</f>
        <v>Sep✓</v>
      </c>
      <c r="EX6" s="27" t="str">
        <f ca="1">IF(EX7=0,"Oct✓","Oct")</f>
        <v>Oct✓</v>
      </c>
      <c r="EY6" s="27" t="str">
        <f ca="1">IF(EY7=0,"Nov✓","Nov")</f>
        <v>Nov✓</v>
      </c>
      <c r="EZ6" s="27" t="str">
        <f ca="1">IF(EZ7=0,"Dec✓","Dec")</f>
        <v>Dec✓</v>
      </c>
      <c r="FA6" s="27" t="str">
        <f ca="1">IF(FA7=0,"Total✓","Total")</f>
        <v>Total✓</v>
      </c>
    </row>
    <row r="7" spans="1:219" x14ac:dyDescent="0.25">
      <c r="C7" s="24" t="s">
        <v>25</v>
      </c>
      <c r="E7" s="25">
        <f ca="1">E24-(E41+E58)</f>
        <v>-4978</v>
      </c>
      <c r="F7" s="25">
        <f t="shared" ref="F7:Q7" ca="1" si="0">F24-(F41+F58)</f>
        <v>0</v>
      </c>
      <c r="G7" s="25">
        <f t="shared" ca="1" si="0"/>
        <v>0</v>
      </c>
      <c r="H7" s="25">
        <f t="shared" ca="1" si="0"/>
        <v>0</v>
      </c>
      <c r="I7" s="25">
        <f t="shared" ca="1" si="0"/>
        <v>0</v>
      </c>
      <c r="J7" s="25">
        <f t="shared" ca="1" si="0"/>
        <v>0</v>
      </c>
      <c r="K7" s="25">
        <f t="shared" ca="1" si="0"/>
        <v>0</v>
      </c>
      <c r="L7" s="25">
        <f t="shared" ca="1" si="0"/>
        <v>0</v>
      </c>
      <c r="M7" s="25">
        <f t="shared" ca="1" si="0"/>
        <v>0</v>
      </c>
      <c r="N7" s="25">
        <f t="shared" ca="1" si="0"/>
        <v>0</v>
      </c>
      <c r="O7" s="25">
        <f t="shared" ca="1" si="0"/>
        <v>0</v>
      </c>
      <c r="P7" s="25">
        <f t="shared" ca="1" si="0"/>
        <v>0</v>
      </c>
      <c r="Q7" s="26">
        <f t="shared" ca="1" si="0"/>
        <v>-4978</v>
      </c>
      <c r="S7" s="25">
        <f ca="1">S24-(S41+S58)</f>
        <v>0</v>
      </c>
      <c r="T7" s="25">
        <f t="shared" ref="T7:AE7" ca="1" si="1">T24-(T41+T58)</f>
        <v>0</v>
      </c>
      <c r="U7" s="25">
        <f t="shared" ca="1" si="1"/>
        <v>0</v>
      </c>
      <c r="V7" s="25">
        <f t="shared" ca="1" si="1"/>
        <v>0</v>
      </c>
      <c r="W7" s="25">
        <f t="shared" ca="1" si="1"/>
        <v>0</v>
      </c>
      <c r="X7" s="25">
        <f t="shared" ca="1" si="1"/>
        <v>0</v>
      </c>
      <c r="Y7" s="25">
        <f t="shared" ca="1" si="1"/>
        <v>0</v>
      </c>
      <c r="Z7" s="25">
        <f t="shared" ca="1" si="1"/>
        <v>0</v>
      </c>
      <c r="AA7" s="25">
        <f t="shared" ca="1" si="1"/>
        <v>0</v>
      </c>
      <c r="AB7" s="25">
        <f t="shared" ca="1" si="1"/>
        <v>0</v>
      </c>
      <c r="AC7" s="25">
        <f t="shared" ca="1" si="1"/>
        <v>0</v>
      </c>
      <c r="AD7" s="25">
        <f t="shared" ca="1" si="1"/>
        <v>0</v>
      </c>
      <c r="AE7" s="26">
        <f t="shared" ca="1" si="1"/>
        <v>0</v>
      </c>
      <c r="AG7" s="25">
        <f ca="1">AG24-(AG41+AG58)</f>
        <v>0</v>
      </c>
      <c r="AH7" s="25">
        <f t="shared" ref="AH7:AS7" ca="1" si="2">AH24-(AH41+AH58)</f>
        <v>0</v>
      </c>
      <c r="AI7" s="25">
        <f t="shared" ca="1" si="2"/>
        <v>0</v>
      </c>
      <c r="AJ7" s="25">
        <f t="shared" ca="1" si="2"/>
        <v>0</v>
      </c>
      <c r="AK7" s="25">
        <f t="shared" ca="1" si="2"/>
        <v>0</v>
      </c>
      <c r="AL7" s="25">
        <f t="shared" ca="1" si="2"/>
        <v>0</v>
      </c>
      <c r="AM7" s="25">
        <f t="shared" ca="1" si="2"/>
        <v>0</v>
      </c>
      <c r="AN7" s="25">
        <f t="shared" ca="1" si="2"/>
        <v>0</v>
      </c>
      <c r="AO7" s="25">
        <f t="shared" ca="1" si="2"/>
        <v>0</v>
      </c>
      <c r="AP7" s="25">
        <f t="shared" ca="1" si="2"/>
        <v>0</v>
      </c>
      <c r="AQ7" s="25">
        <f t="shared" ca="1" si="2"/>
        <v>0</v>
      </c>
      <c r="AR7" s="25">
        <f t="shared" ca="1" si="2"/>
        <v>0</v>
      </c>
      <c r="AS7" s="26">
        <f t="shared" ca="1" si="2"/>
        <v>0</v>
      </c>
      <c r="AU7" s="25">
        <f ca="1">AU24-(AU41+AU58)</f>
        <v>0</v>
      </c>
      <c r="AV7" s="25">
        <f t="shared" ref="AV7:BG7" ca="1" si="3">AV24-(AV41+AV58)</f>
        <v>0</v>
      </c>
      <c r="AW7" s="25">
        <f t="shared" ca="1" si="3"/>
        <v>0</v>
      </c>
      <c r="AX7" s="25">
        <f t="shared" ca="1" si="3"/>
        <v>0</v>
      </c>
      <c r="AY7" s="25">
        <f t="shared" ca="1" si="3"/>
        <v>0</v>
      </c>
      <c r="AZ7" s="25">
        <f t="shared" ca="1" si="3"/>
        <v>0</v>
      </c>
      <c r="BA7" s="25">
        <f t="shared" ca="1" si="3"/>
        <v>0</v>
      </c>
      <c r="BB7" s="25">
        <f t="shared" ca="1" si="3"/>
        <v>0</v>
      </c>
      <c r="BC7" s="25">
        <f t="shared" ca="1" si="3"/>
        <v>0</v>
      </c>
      <c r="BD7" s="25">
        <f t="shared" ca="1" si="3"/>
        <v>0</v>
      </c>
      <c r="BE7" s="25">
        <f t="shared" ca="1" si="3"/>
        <v>0</v>
      </c>
      <c r="BF7" s="25">
        <f t="shared" ca="1" si="3"/>
        <v>0</v>
      </c>
      <c r="BG7" s="26">
        <f t="shared" ca="1" si="3"/>
        <v>0</v>
      </c>
      <c r="BI7" s="25">
        <f ca="1">BI24-(BI41+BI58)</f>
        <v>0</v>
      </c>
      <c r="BJ7" s="25">
        <f t="shared" ref="BJ7:BU7" ca="1" si="4">BJ24-(BJ41+BJ58)</f>
        <v>0</v>
      </c>
      <c r="BK7" s="25">
        <f t="shared" ca="1" si="4"/>
        <v>0</v>
      </c>
      <c r="BL7" s="25">
        <f t="shared" ca="1" si="4"/>
        <v>0</v>
      </c>
      <c r="BM7" s="25">
        <f t="shared" ca="1" si="4"/>
        <v>0</v>
      </c>
      <c r="BN7" s="25">
        <f t="shared" ca="1" si="4"/>
        <v>0</v>
      </c>
      <c r="BO7" s="25">
        <f t="shared" ca="1" si="4"/>
        <v>0</v>
      </c>
      <c r="BP7" s="25">
        <f t="shared" ca="1" si="4"/>
        <v>0</v>
      </c>
      <c r="BQ7" s="25">
        <f t="shared" ca="1" si="4"/>
        <v>0</v>
      </c>
      <c r="BR7" s="25">
        <f t="shared" ca="1" si="4"/>
        <v>0</v>
      </c>
      <c r="BS7" s="25">
        <f t="shared" ca="1" si="4"/>
        <v>0</v>
      </c>
      <c r="BT7" s="25">
        <f t="shared" ca="1" si="4"/>
        <v>0</v>
      </c>
      <c r="BU7" s="26">
        <f t="shared" ca="1" si="4"/>
        <v>0</v>
      </c>
      <c r="BW7" s="25">
        <f ca="1">BW24-(BW41+BW58)</f>
        <v>0</v>
      </c>
      <c r="BX7" s="25">
        <f t="shared" ref="BX7:CI7" ca="1" si="5">BX24-(BX41+BX58)</f>
        <v>0</v>
      </c>
      <c r="BY7" s="25">
        <f t="shared" ca="1" si="5"/>
        <v>0</v>
      </c>
      <c r="BZ7" s="25">
        <f t="shared" ca="1" si="5"/>
        <v>0</v>
      </c>
      <c r="CA7" s="25">
        <f t="shared" ca="1" si="5"/>
        <v>0</v>
      </c>
      <c r="CB7" s="25">
        <f t="shared" ca="1" si="5"/>
        <v>0</v>
      </c>
      <c r="CC7" s="25">
        <f t="shared" ca="1" si="5"/>
        <v>0</v>
      </c>
      <c r="CD7" s="25">
        <f t="shared" ca="1" si="5"/>
        <v>0</v>
      </c>
      <c r="CE7" s="25">
        <f t="shared" ca="1" si="5"/>
        <v>0</v>
      </c>
      <c r="CF7" s="25">
        <f t="shared" ca="1" si="5"/>
        <v>0</v>
      </c>
      <c r="CG7" s="25">
        <f t="shared" ca="1" si="5"/>
        <v>0</v>
      </c>
      <c r="CH7" s="25">
        <f t="shared" ca="1" si="5"/>
        <v>0</v>
      </c>
      <c r="CI7" s="26">
        <f t="shared" ca="1" si="5"/>
        <v>0</v>
      </c>
      <c r="CK7" s="25">
        <f ca="1">CK24-(CK41+CK58)</f>
        <v>0</v>
      </c>
      <c r="CL7" s="25">
        <f t="shared" ref="CL7:CW7" ca="1" si="6">CL24-(CL41+CL58)</f>
        <v>0</v>
      </c>
      <c r="CM7" s="25">
        <f t="shared" ca="1" si="6"/>
        <v>0</v>
      </c>
      <c r="CN7" s="25">
        <f t="shared" ca="1" si="6"/>
        <v>0</v>
      </c>
      <c r="CO7" s="25">
        <f t="shared" ca="1" si="6"/>
        <v>0</v>
      </c>
      <c r="CP7" s="25">
        <f t="shared" ca="1" si="6"/>
        <v>0</v>
      </c>
      <c r="CQ7" s="25">
        <f t="shared" ca="1" si="6"/>
        <v>0</v>
      </c>
      <c r="CR7" s="25">
        <f t="shared" ca="1" si="6"/>
        <v>0</v>
      </c>
      <c r="CS7" s="25">
        <f t="shared" ca="1" si="6"/>
        <v>0</v>
      </c>
      <c r="CT7" s="25">
        <f t="shared" ca="1" si="6"/>
        <v>0</v>
      </c>
      <c r="CU7" s="25">
        <f t="shared" ca="1" si="6"/>
        <v>0</v>
      </c>
      <c r="CV7" s="25">
        <f t="shared" ca="1" si="6"/>
        <v>0</v>
      </c>
      <c r="CW7" s="26">
        <f t="shared" ca="1" si="6"/>
        <v>0</v>
      </c>
      <c r="CY7" s="25">
        <f ca="1">CY24-(CY41+CY58)</f>
        <v>0</v>
      </c>
      <c r="CZ7" s="25">
        <f t="shared" ref="CZ7:DK7" ca="1" si="7">CZ24-(CZ41+CZ58)</f>
        <v>0</v>
      </c>
      <c r="DA7" s="25">
        <f t="shared" ca="1" si="7"/>
        <v>0</v>
      </c>
      <c r="DB7" s="25">
        <f t="shared" ca="1" si="7"/>
        <v>0</v>
      </c>
      <c r="DC7" s="25">
        <f t="shared" ca="1" si="7"/>
        <v>0</v>
      </c>
      <c r="DD7" s="25">
        <f t="shared" ca="1" si="7"/>
        <v>0</v>
      </c>
      <c r="DE7" s="25">
        <f t="shared" ca="1" si="7"/>
        <v>0</v>
      </c>
      <c r="DF7" s="25">
        <f t="shared" ca="1" si="7"/>
        <v>0</v>
      </c>
      <c r="DG7" s="25">
        <f t="shared" ca="1" si="7"/>
        <v>0</v>
      </c>
      <c r="DH7" s="25">
        <f t="shared" ca="1" si="7"/>
        <v>0</v>
      </c>
      <c r="DI7" s="25">
        <f t="shared" ca="1" si="7"/>
        <v>0</v>
      </c>
      <c r="DJ7" s="25">
        <f t="shared" ca="1" si="7"/>
        <v>0</v>
      </c>
      <c r="DK7" s="26">
        <f t="shared" ca="1" si="7"/>
        <v>0</v>
      </c>
      <c r="DM7" s="25">
        <f ca="1">DM24-(DM41+DM58)</f>
        <v>0</v>
      </c>
      <c r="DN7" s="25">
        <f t="shared" ref="DN7:DY7" ca="1" si="8">DN24-(DN41+DN58)</f>
        <v>0</v>
      </c>
      <c r="DO7" s="25">
        <f t="shared" ca="1" si="8"/>
        <v>0</v>
      </c>
      <c r="DP7" s="25">
        <f t="shared" ca="1" si="8"/>
        <v>0</v>
      </c>
      <c r="DQ7" s="25">
        <f t="shared" ca="1" si="8"/>
        <v>0</v>
      </c>
      <c r="DR7" s="25">
        <f t="shared" ca="1" si="8"/>
        <v>0</v>
      </c>
      <c r="DS7" s="25">
        <f t="shared" ca="1" si="8"/>
        <v>0</v>
      </c>
      <c r="DT7" s="25">
        <f t="shared" ca="1" si="8"/>
        <v>0</v>
      </c>
      <c r="DU7" s="25">
        <f t="shared" ca="1" si="8"/>
        <v>0</v>
      </c>
      <c r="DV7" s="25">
        <f t="shared" ca="1" si="8"/>
        <v>0</v>
      </c>
      <c r="DW7" s="25">
        <f t="shared" ca="1" si="8"/>
        <v>0</v>
      </c>
      <c r="DX7" s="25">
        <f t="shared" ca="1" si="8"/>
        <v>0</v>
      </c>
      <c r="DY7" s="26">
        <f t="shared" ca="1" si="8"/>
        <v>0</v>
      </c>
      <c r="EA7" s="25">
        <f ca="1">EA24-(EA41+EA58)</f>
        <v>0</v>
      </c>
      <c r="EB7" s="25">
        <f t="shared" ref="EB7:EM7" ca="1" si="9">EB24-(EB41+EB58)</f>
        <v>0</v>
      </c>
      <c r="EC7" s="25">
        <f t="shared" ca="1" si="9"/>
        <v>0</v>
      </c>
      <c r="ED7" s="25">
        <f t="shared" ca="1" si="9"/>
        <v>0</v>
      </c>
      <c r="EE7" s="25">
        <f t="shared" ca="1" si="9"/>
        <v>0</v>
      </c>
      <c r="EF7" s="25">
        <f t="shared" ca="1" si="9"/>
        <v>0</v>
      </c>
      <c r="EG7" s="25">
        <f t="shared" ca="1" si="9"/>
        <v>0</v>
      </c>
      <c r="EH7" s="25">
        <f t="shared" ca="1" si="9"/>
        <v>0</v>
      </c>
      <c r="EI7" s="25">
        <f t="shared" ca="1" si="9"/>
        <v>0</v>
      </c>
      <c r="EJ7" s="25">
        <f t="shared" ca="1" si="9"/>
        <v>0</v>
      </c>
      <c r="EK7" s="25">
        <f t="shared" ca="1" si="9"/>
        <v>0</v>
      </c>
      <c r="EL7" s="25">
        <f t="shared" ca="1" si="9"/>
        <v>0</v>
      </c>
      <c r="EM7" s="26">
        <f t="shared" ca="1" si="9"/>
        <v>0</v>
      </c>
      <c r="EO7" s="25">
        <f ca="1">EO24-(EO41+EO58)</f>
        <v>0</v>
      </c>
      <c r="EP7" s="25">
        <f t="shared" ref="EP7:FA7" ca="1" si="10">EP24-(EP41+EP58)</f>
        <v>0</v>
      </c>
      <c r="EQ7" s="25">
        <f t="shared" ca="1" si="10"/>
        <v>0</v>
      </c>
      <c r="ER7" s="25">
        <f t="shared" ca="1" si="10"/>
        <v>0</v>
      </c>
      <c r="ES7" s="25">
        <f t="shared" ca="1" si="10"/>
        <v>0</v>
      </c>
      <c r="ET7" s="25">
        <f t="shared" ca="1" si="10"/>
        <v>0</v>
      </c>
      <c r="EU7" s="25">
        <f t="shared" ca="1" si="10"/>
        <v>0</v>
      </c>
      <c r="EV7" s="25">
        <f t="shared" ca="1" si="10"/>
        <v>0</v>
      </c>
      <c r="EW7" s="25">
        <f t="shared" ca="1" si="10"/>
        <v>0</v>
      </c>
      <c r="EX7" s="25">
        <f t="shared" ca="1" si="10"/>
        <v>0</v>
      </c>
      <c r="EY7" s="25">
        <f t="shared" ca="1" si="10"/>
        <v>0</v>
      </c>
      <c r="EZ7" s="25">
        <f t="shared" ca="1" si="10"/>
        <v>0</v>
      </c>
      <c r="FA7" s="26">
        <f t="shared" ca="1" si="10"/>
        <v>0</v>
      </c>
    </row>
    <row r="9" spans="1:219" x14ac:dyDescent="0.25">
      <c r="C9" s="12" t="s">
        <v>0</v>
      </c>
      <c r="E9" s="14">
        <f>DATE(E$5,1,1)</f>
        <v>46023</v>
      </c>
      <c r="F9" s="14">
        <f>DATE(E$5,2,1)</f>
        <v>46054</v>
      </c>
      <c r="G9" s="14">
        <f>DATE(E$5,3,1)</f>
        <v>46082</v>
      </c>
      <c r="H9" s="14">
        <f>DATE(E$5,4,1)</f>
        <v>46113</v>
      </c>
      <c r="I9" s="14">
        <f>DATE(E$5,5,1)</f>
        <v>46143</v>
      </c>
      <c r="J9" s="14">
        <f>DATE(E$5,6,1)</f>
        <v>46174</v>
      </c>
      <c r="K9" s="14">
        <f>DATE(E$5,7,1)</f>
        <v>46204</v>
      </c>
      <c r="L9" s="14">
        <f>DATE(E$5,8,1)</f>
        <v>46235</v>
      </c>
      <c r="M9" s="14">
        <f>DATE(E$5,9,1)</f>
        <v>46266</v>
      </c>
      <c r="N9" s="14">
        <f>DATE(E$5,10,1)</f>
        <v>46296</v>
      </c>
      <c r="O9" s="14">
        <f>DATE(E$5,11,1)</f>
        <v>46327</v>
      </c>
      <c r="P9" s="14">
        <f>DATE(E$5,12,1)</f>
        <v>46357</v>
      </c>
      <c r="Q9" s="15">
        <f>E$5</f>
        <v>2026</v>
      </c>
      <c r="S9" s="14">
        <f>DATE(S$5,1,1)</f>
        <v>46388</v>
      </c>
      <c r="T9" s="14">
        <f>DATE(S$5,2,1)</f>
        <v>46419</v>
      </c>
      <c r="U9" s="14">
        <f>DATE(S$5,3,1)</f>
        <v>46447</v>
      </c>
      <c r="V9" s="14">
        <f>DATE(S$5,4,1)</f>
        <v>46478</v>
      </c>
      <c r="W9" s="14">
        <f>DATE(S$5,5,1)</f>
        <v>46508</v>
      </c>
      <c r="X9" s="14">
        <f>DATE(S$5,6,1)</f>
        <v>46539</v>
      </c>
      <c r="Y9" s="14">
        <f>DATE(S$5,7,1)</f>
        <v>46569</v>
      </c>
      <c r="Z9" s="14">
        <f>DATE(S$5,8,1)</f>
        <v>46600</v>
      </c>
      <c r="AA9" s="14">
        <f>DATE(S$5,9,1)</f>
        <v>46631</v>
      </c>
      <c r="AB9" s="14">
        <f>DATE(S$5,10,1)</f>
        <v>46661</v>
      </c>
      <c r="AC9" s="14">
        <f>DATE(S$5,11,1)</f>
        <v>46692</v>
      </c>
      <c r="AD9" s="14">
        <f>DATE(S$5,12,1)</f>
        <v>46722</v>
      </c>
      <c r="AE9" s="15">
        <f>S$5</f>
        <v>2027</v>
      </c>
      <c r="AG9" s="14">
        <f>DATE(AG$5,1,1)</f>
        <v>46753</v>
      </c>
      <c r="AH9" s="14">
        <f>DATE(AG$5,2,1)</f>
        <v>46784</v>
      </c>
      <c r="AI9" s="14">
        <f>DATE(AG$5,3,1)</f>
        <v>46813</v>
      </c>
      <c r="AJ9" s="14">
        <f>DATE(AG$5,4,1)</f>
        <v>46844</v>
      </c>
      <c r="AK9" s="14">
        <f>DATE(AG$5,5,1)</f>
        <v>46874</v>
      </c>
      <c r="AL9" s="14">
        <f>DATE(AG$5,6,1)</f>
        <v>46905</v>
      </c>
      <c r="AM9" s="14">
        <f>DATE(AG$5,7,1)</f>
        <v>46935</v>
      </c>
      <c r="AN9" s="14">
        <f>DATE(AG$5,8,1)</f>
        <v>46966</v>
      </c>
      <c r="AO9" s="14">
        <f>DATE(AG$5,9,1)</f>
        <v>46997</v>
      </c>
      <c r="AP9" s="14">
        <f>DATE(AG$5,10,1)</f>
        <v>47027</v>
      </c>
      <c r="AQ9" s="14">
        <f>DATE(AG$5,11,1)</f>
        <v>47058</v>
      </c>
      <c r="AR9" s="14">
        <f>DATE(AG$5,12,1)</f>
        <v>47088</v>
      </c>
      <c r="AS9" s="15">
        <f>AG$5</f>
        <v>2028</v>
      </c>
      <c r="AU9" s="14">
        <f>DATE(AU$5,1,1)</f>
        <v>47119</v>
      </c>
      <c r="AV9" s="14">
        <f>DATE(AU$5,2,1)</f>
        <v>47150</v>
      </c>
      <c r="AW9" s="14">
        <f>DATE(AU$5,3,1)</f>
        <v>47178</v>
      </c>
      <c r="AX9" s="14">
        <f>DATE(AU$5,4,1)</f>
        <v>47209</v>
      </c>
      <c r="AY9" s="14">
        <f>DATE(AU$5,5,1)</f>
        <v>47239</v>
      </c>
      <c r="AZ9" s="14">
        <f>DATE(AU$5,6,1)</f>
        <v>47270</v>
      </c>
      <c r="BA9" s="14">
        <f>DATE(AU$5,7,1)</f>
        <v>47300</v>
      </c>
      <c r="BB9" s="14">
        <f>DATE(AU$5,8,1)</f>
        <v>47331</v>
      </c>
      <c r="BC9" s="14">
        <f>DATE(AU$5,9,1)</f>
        <v>47362</v>
      </c>
      <c r="BD9" s="14">
        <f>DATE(AU$5,10,1)</f>
        <v>47392</v>
      </c>
      <c r="BE9" s="14">
        <f>DATE(AU$5,11,1)</f>
        <v>47423</v>
      </c>
      <c r="BF9" s="14">
        <f>DATE(AU$5,12,1)</f>
        <v>47453</v>
      </c>
      <c r="BG9" s="15">
        <f>AU$5</f>
        <v>2029</v>
      </c>
      <c r="BI9" s="14">
        <f>DATE(BI$5,1,1)</f>
        <v>47484</v>
      </c>
      <c r="BJ9" s="14">
        <f>DATE(BI$5,2,1)</f>
        <v>47515</v>
      </c>
      <c r="BK9" s="14">
        <f>DATE(BI$5,3,1)</f>
        <v>47543</v>
      </c>
      <c r="BL9" s="14">
        <f>DATE(BI$5,4,1)</f>
        <v>47574</v>
      </c>
      <c r="BM9" s="14">
        <f>DATE(BI$5,5,1)</f>
        <v>47604</v>
      </c>
      <c r="BN9" s="14">
        <f>DATE(BI$5,6,1)</f>
        <v>47635</v>
      </c>
      <c r="BO9" s="14">
        <f>DATE(BI$5,7,1)</f>
        <v>47665</v>
      </c>
      <c r="BP9" s="14">
        <f>DATE(BI$5,8,1)</f>
        <v>47696</v>
      </c>
      <c r="BQ9" s="14">
        <f>DATE(BI$5,9,1)</f>
        <v>47727</v>
      </c>
      <c r="BR9" s="14">
        <f>DATE(BI$5,10,1)</f>
        <v>47757</v>
      </c>
      <c r="BS9" s="14">
        <f>DATE(BI$5,11,1)</f>
        <v>47788</v>
      </c>
      <c r="BT9" s="14">
        <f>DATE(BI$5,12,1)</f>
        <v>47818</v>
      </c>
      <c r="BU9" s="15">
        <f>BI$5</f>
        <v>2030</v>
      </c>
      <c r="BW9" s="14">
        <f>DATE(BW$5,1,1)</f>
        <v>47849</v>
      </c>
      <c r="BX9" s="14">
        <f>DATE(BW$5,2,1)</f>
        <v>47880</v>
      </c>
      <c r="BY9" s="14">
        <f>DATE(BW$5,3,1)</f>
        <v>47908</v>
      </c>
      <c r="BZ9" s="14">
        <f>DATE(BW$5,4,1)</f>
        <v>47939</v>
      </c>
      <c r="CA9" s="14">
        <f>DATE(BW$5,5,1)</f>
        <v>47969</v>
      </c>
      <c r="CB9" s="14">
        <f>DATE(BW$5,6,1)</f>
        <v>48000</v>
      </c>
      <c r="CC9" s="14">
        <f>DATE(BW$5,7,1)</f>
        <v>48030</v>
      </c>
      <c r="CD9" s="14">
        <f>DATE(BW$5,8,1)</f>
        <v>48061</v>
      </c>
      <c r="CE9" s="14">
        <f>DATE(BW$5,9,1)</f>
        <v>48092</v>
      </c>
      <c r="CF9" s="14">
        <f>DATE(BW$5,10,1)</f>
        <v>48122</v>
      </c>
      <c r="CG9" s="14">
        <f>DATE(BW$5,11,1)</f>
        <v>48153</v>
      </c>
      <c r="CH9" s="14">
        <f>DATE(BW$5,12,1)</f>
        <v>48183</v>
      </c>
      <c r="CI9" s="15">
        <f>BW$5</f>
        <v>2031</v>
      </c>
      <c r="CK9" s="14">
        <f>DATE(CK$5,1,1)</f>
        <v>48214</v>
      </c>
      <c r="CL9" s="14">
        <f>DATE(CK$5,2,1)</f>
        <v>48245</v>
      </c>
      <c r="CM9" s="14">
        <f>DATE(CK$5,3,1)</f>
        <v>48274</v>
      </c>
      <c r="CN9" s="14">
        <f>DATE(CK$5,4,1)</f>
        <v>48305</v>
      </c>
      <c r="CO9" s="14">
        <f>DATE(CK$5,5,1)</f>
        <v>48335</v>
      </c>
      <c r="CP9" s="14">
        <f>DATE(CK$5,6,1)</f>
        <v>48366</v>
      </c>
      <c r="CQ9" s="14">
        <f>DATE(CK$5,7,1)</f>
        <v>48396</v>
      </c>
      <c r="CR9" s="14">
        <f>DATE(CK$5,8,1)</f>
        <v>48427</v>
      </c>
      <c r="CS9" s="14">
        <f>DATE(CK$5,9,1)</f>
        <v>48458</v>
      </c>
      <c r="CT9" s="14">
        <f>DATE(CK$5,10,1)</f>
        <v>48488</v>
      </c>
      <c r="CU9" s="14">
        <f>DATE(CK$5,11,1)</f>
        <v>48519</v>
      </c>
      <c r="CV9" s="14">
        <f>DATE(CK$5,12,1)</f>
        <v>48549</v>
      </c>
      <c r="CW9" s="15">
        <f>CK$5</f>
        <v>2032</v>
      </c>
      <c r="CY9" s="14">
        <f>DATE(CY$5,1,1)</f>
        <v>48580</v>
      </c>
      <c r="CZ9" s="14">
        <f>DATE(CY$5,2,1)</f>
        <v>48611</v>
      </c>
      <c r="DA9" s="14">
        <f>DATE(CY$5,3,1)</f>
        <v>48639</v>
      </c>
      <c r="DB9" s="14">
        <f>DATE(CY$5,4,1)</f>
        <v>48670</v>
      </c>
      <c r="DC9" s="14">
        <f>DATE(CY$5,5,1)</f>
        <v>48700</v>
      </c>
      <c r="DD9" s="14">
        <f>DATE(CY$5,6,1)</f>
        <v>48731</v>
      </c>
      <c r="DE9" s="14">
        <f>DATE(CY$5,7,1)</f>
        <v>48761</v>
      </c>
      <c r="DF9" s="14">
        <f>DATE(CY$5,8,1)</f>
        <v>48792</v>
      </c>
      <c r="DG9" s="14">
        <f>DATE(CY$5,9,1)</f>
        <v>48823</v>
      </c>
      <c r="DH9" s="14">
        <f>DATE(CY$5,10,1)</f>
        <v>48853</v>
      </c>
      <c r="DI9" s="14">
        <f>DATE(CY$5,11,1)</f>
        <v>48884</v>
      </c>
      <c r="DJ9" s="14">
        <f>DATE(CY$5,12,1)</f>
        <v>48914</v>
      </c>
      <c r="DK9" s="15">
        <f>CY$5</f>
        <v>2033</v>
      </c>
      <c r="DM9" s="14">
        <f>DATE(DM$5,1,1)</f>
        <v>48945</v>
      </c>
      <c r="DN9" s="14">
        <f>DATE(DM$5,2,1)</f>
        <v>48976</v>
      </c>
      <c r="DO9" s="14">
        <f>DATE(DM$5,3,1)</f>
        <v>49004</v>
      </c>
      <c r="DP9" s="14">
        <f>DATE(DM$5,4,1)</f>
        <v>49035</v>
      </c>
      <c r="DQ9" s="14">
        <f>DATE(DM$5,5,1)</f>
        <v>49065</v>
      </c>
      <c r="DR9" s="14">
        <f>DATE(DM$5,6,1)</f>
        <v>49096</v>
      </c>
      <c r="DS9" s="14">
        <f>DATE(DM$5,7,1)</f>
        <v>49126</v>
      </c>
      <c r="DT9" s="14">
        <f>DATE(DM$5,8,1)</f>
        <v>49157</v>
      </c>
      <c r="DU9" s="14">
        <f>DATE(DM$5,9,1)</f>
        <v>49188</v>
      </c>
      <c r="DV9" s="14">
        <f>DATE(DM$5,10,1)</f>
        <v>49218</v>
      </c>
      <c r="DW9" s="14">
        <f>DATE(DM$5,11,1)</f>
        <v>49249</v>
      </c>
      <c r="DX9" s="14">
        <f>DATE(DM$5,12,1)</f>
        <v>49279</v>
      </c>
      <c r="DY9" s="15">
        <f>DM$5</f>
        <v>2034</v>
      </c>
      <c r="EA9" s="14">
        <f>DATE(EA$5,1,1)</f>
        <v>49310</v>
      </c>
      <c r="EB9" s="14">
        <f>DATE(EA$5,2,1)</f>
        <v>49341</v>
      </c>
      <c r="EC9" s="14">
        <f>DATE(EA$5,3,1)</f>
        <v>49369</v>
      </c>
      <c r="ED9" s="14">
        <f>DATE(EA$5,4,1)</f>
        <v>49400</v>
      </c>
      <c r="EE9" s="14">
        <f>DATE(EA$5,5,1)</f>
        <v>49430</v>
      </c>
      <c r="EF9" s="14">
        <f>DATE(EA$5,6,1)</f>
        <v>49461</v>
      </c>
      <c r="EG9" s="14">
        <f>DATE(EA$5,7,1)</f>
        <v>49491</v>
      </c>
      <c r="EH9" s="14">
        <f>DATE(EA$5,8,1)</f>
        <v>49522</v>
      </c>
      <c r="EI9" s="14">
        <f>DATE(EA$5,9,1)</f>
        <v>49553</v>
      </c>
      <c r="EJ9" s="14">
        <f>DATE(EA$5,10,1)</f>
        <v>49583</v>
      </c>
      <c r="EK9" s="14">
        <f>DATE(EA$5,11,1)</f>
        <v>49614</v>
      </c>
      <c r="EL9" s="14">
        <f>DATE(EA$5,12,1)</f>
        <v>49644</v>
      </c>
      <c r="EM9" s="15">
        <f>EA$5</f>
        <v>2035</v>
      </c>
      <c r="EO9" s="14">
        <f>DATE(EO$5,1,1)</f>
        <v>49675</v>
      </c>
      <c r="EP9" s="14">
        <f>DATE(EO$5,2,1)</f>
        <v>49706</v>
      </c>
      <c r="EQ9" s="14">
        <f>DATE(EO$5,3,1)</f>
        <v>49735</v>
      </c>
      <c r="ER9" s="14">
        <f>DATE(EO$5,4,1)</f>
        <v>49766</v>
      </c>
      <c r="ES9" s="14">
        <f>DATE(EO$5,5,1)</f>
        <v>49796</v>
      </c>
      <c r="ET9" s="14">
        <f>DATE(EO$5,6,1)</f>
        <v>49827</v>
      </c>
      <c r="EU9" s="14">
        <f>DATE(EO$5,7,1)</f>
        <v>49857</v>
      </c>
      <c r="EV9" s="14">
        <f>DATE(EO$5,8,1)</f>
        <v>49888</v>
      </c>
      <c r="EW9" s="14">
        <f>DATE(EO$5,9,1)</f>
        <v>49919</v>
      </c>
      <c r="EX9" s="14">
        <f>DATE(EO$5,10,1)</f>
        <v>49949</v>
      </c>
      <c r="EY9" s="14">
        <f>DATE(EO$5,11,1)</f>
        <v>49980</v>
      </c>
      <c r="EZ9" s="14">
        <f>DATE(EO$5,12,1)</f>
        <v>50010</v>
      </c>
      <c r="FA9" s="15">
        <f>EO$5</f>
        <v>2036</v>
      </c>
    </row>
    <row r="10" spans="1:219" x14ac:dyDescent="0.25">
      <c r="C10" s="16" t="s">
        <v>9</v>
      </c>
      <c r="E10" s="17">
        <v>25000</v>
      </c>
      <c r="F10" s="17">
        <v>80562</v>
      </c>
      <c r="G10" s="17">
        <v>80562</v>
      </c>
      <c r="H10" s="17">
        <v>80562</v>
      </c>
      <c r="I10" s="17">
        <v>80562</v>
      </c>
      <c r="J10" s="17">
        <v>80562</v>
      </c>
      <c r="K10" s="17">
        <v>80562</v>
      </c>
      <c r="L10" s="17">
        <v>80562</v>
      </c>
      <c r="M10" s="17">
        <v>80562</v>
      </c>
      <c r="N10" s="17">
        <v>80562</v>
      </c>
      <c r="O10" s="17">
        <v>80562</v>
      </c>
      <c r="P10" s="17">
        <v>80562</v>
      </c>
      <c r="Q10" s="19">
        <f>SUM(E10:P10)</f>
        <v>911182</v>
      </c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9">
        <f>SUM(S10:AD10)</f>
        <v>0</v>
      </c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9">
        <f>SUM(AG10:AR10)</f>
        <v>0</v>
      </c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9">
        <f>SUM(AU10:BF10)</f>
        <v>0</v>
      </c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9">
        <f>SUM(BI10:BT10)</f>
        <v>0</v>
      </c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9">
        <f>SUM(BW10:CH10)</f>
        <v>0</v>
      </c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9">
        <f>SUM(CK10:CV10)</f>
        <v>0</v>
      </c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9">
        <f>SUM(CY10:DJ10)</f>
        <v>0</v>
      </c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7"/>
      <c r="DX10" s="17"/>
      <c r="DY10" s="19">
        <f>SUM(DM10:DX10)</f>
        <v>0</v>
      </c>
      <c r="EA10" s="17"/>
      <c r="EB10" s="17"/>
      <c r="EC10" s="17"/>
      <c r="ED10" s="17"/>
      <c r="EE10" s="17"/>
      <c r="EF10" s="17"/>
      <c r="EG10" s="17"/>
      <c r="EH10" s="17"/>
      <c r="EI10" s="17"/>
      <c r="EJ10" s="17"/>
      <c r="EK10" s="17"/>
      <c r="EL10" s="17"/>
      <c r="EM10" s="19">
        <f>SUM(EA10:EL10)</f>
        <v>0</v>
      </c>
      <c r="EO10" s="17"/>
      <c r="EP10" s="17"/>
      <c r="EQ10" s="17"/>
      <c r="ER10" s="17"/>
      <c r="ES10" s="17"/>
      <c r="ET10" s="17"/>
      <c r="EU10" s="17"/>
      <c r="EV10" s="17"/>
      <c r="EW10" s="17"/>
      <c r="EX10" s="17"/>
      <c r="EY10" s="17"/>
      <c r="EZ10" s="17"/>
      <c r="FA10" s="19">
        <f>SUM(EO10:EZ10)</f>
        <v>0</v>
      </c>
    </row>
    <row r="11" spans="1:219" x14ac:dyDescent="0.25">
      <c r="C11" s="16" t="s">
        <v>10</v>
      </c>
      <c r="E11" s="17">
        <v>950</v>
      </c>
      <c r="F11" s="17">
        <v>5672</v>
      </c>
      <c r="G11" s="17">
        <v>11084</v>
      </c>
      <c r="H11" s="17">
        <v>13467</v>
      </c>
      <c r="I11" s="17">
        <v>17631</v>
      </c>
      <c r="J11" s="17">
        <v>21021</v>
      </c>
      <c r="K11" s="17">
        <v>27087</v>
      </c>
      <c r="L11" s="17">
        <v>33084</v>
      </c>
      <c r="M11" s="17">
        <v>39765</v>
      </c>
      <c r="N11" s="17">
        <v>41098</v>
      </c>
      <c r="O11" s="17">
        <v>43897</v>
      </c>
      <c r="P11" s="17">
        <v>44567</v>
      </c>
      <c r="Q11" s="19">
        <f t="shared" ref="Q11:Q23" si="11">SUM(E11:P11)</f>
        <v>299323</v>
      </c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9">
        <f t="shared" ref="AE11:AE23" si="12">SUM(S11:AD11)</f>
        <v>0</v>
      </c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9">
        <f t="shared" ref="AS11:AS23" si="13">SUM(AG11:AR11)</f>
        <v>0</v>
      </c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9">
        <f t="shared" ref="BG11:BG23" si="14">SUM(AU11:BF11)</f>
        <v>0</v>
      </c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9">
        <f t="shared" ref="BU11:BU23" si="15">SUM(BI11:BT11)</f>
        <v>0</v>
      </c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9">
        <f t="shared" ref="CI11:CI23" si="16">SUM(BW11:CH11)</f>
        <v>0</v>
      </c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9">
        <f t="shared" ref="CW11:CW23" si="17">SUM(CK11:CV11)</f>
        <v>0</v>
      </c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9">
        <f t="shared" ref="DK11:DK23" si="18">SUM(CY11:DJ11)</f>
        <v>0</v>
      </c>
      <c r="DM11" s="17"/>
      <c r="DN11" s="17"/>
      <c r="DO11" s="17"/>
      <c r="DP11" s="17"/>
      <c r="DQ11" s="17"/>
      <c r="DR11" s="17"/>
      <c r="DS11" s="17"/>
      <c r="DT11" s="17"/>
      <c r="DU11" s="17"/>
      <c r="DV11" s="17"/>
      <c r="DW11" s="17"/>
      <c r="DX11" s="17"/>
      <c r="DY11" s="19">
        <f t="shared" ref="DY11:DY23" si="19">SUM(DM11:DX11)</f>
        <v>0</v>
      </c>
      <c r="EA11" s="17"/>
      <c r="EB11" s="17"/>
      <c r="EC11" s="17"/>
      <c r="ED11" s="17"/>
      <c r="EE11" s="17"/>
      <c r="EF11" s="17"/>
      <c r="EG11" s="17"/>
      <c r="EH11" s="17"/>
      <c r="EI11" s="17"/>
      <c r="EJ11" s="17"/>
      <c r="EK11" s="17"/>
      <c r="EL11" s="17"/>
      <c r="EM11" s="19">
        <f t="shared" ref="EM11:EM23" si="20">SUM(EA11:EL11)</f>
        <v>0</v>
      </c>
      <c r="EO11" s="17"/>
      <c r="EP11" s="17"/>
      <c r="EQ11" s="17"/>
      <c r="ER11" s="17"/>
      <c r="ES11" s="17"/>
      <c r="ET11" s="17"/>
      <c r="EU11" s="17"/>
      <c r="EV11" s="17"/>
      <c r="EW11" s="17"/>
      <c r="EX11" s="17"/>
      <c r="EY11" s="17"/>
      <c r="EZ11" s="17"/>
      <c r="FA11" s="19">
        <f t="shared" ref="FA11:FA23" si="21">SUM(EO11:EZ11)</f>
        <v>0</v>
      </c>
    </row>
    <row r="12" spans="1:219" x14ac:dyDescent="0.25">
      <c r="C12" s="16" t="s">
        <v>11</v>
      </c>
      <c r="E12" s="17">
        <v>190</v>
      </c>
      <c r="F12" s="17">
        <v>120</v>
      </c>
      <c r="G12" s="17">
        <v>210</v>
      </c>
      <c r="H12" s="17">
        <v>70</v>
      </c>
      <c r="I12" s="17">
        <v>260</v>
      </c>
      <c r="J12" s="17">
        <v>220</v>
      </c>
      <c r="K12" s="17">
        <v>30</v>
      </c>
      <c r="L12" s="17">
        <v>70</v>
      </c>
      <c r="M12" s="17">
        <v>350</v>
      </c>
      <c r="N12" s="17">
        <v>290</v>
      </c>
      <c r="O12" s="17">
        <v>70</v>
      </c>
      <c r="P12" s="17">
        <v>50</v>
      </c>
      <c r="Q12" s="19">
        <f t="shared" si="11"/>
        <v>1930</v>
      </c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9">
        <f t="shared" si="12"/>
        <v>0</v>
      </c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9">
        <f t="shared" si="13"/>
        <v>0</v>
      </c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9">
        <f t="shared" si="14"/>
        <v>0</v>
      </c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9">
        <f t="shared" si="15"/>
        <v>0</v>
      </c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9">
        <f t="shared" si="16"/>
        <v>0</v>
      </c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9">
        <f t="shared" si="17"/>
        <v>0</v>
      </c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9">
        <f t="shared" si="18"/>
        <v>0</v>
      </c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9">
        <f t="shared" si="19"/>
        <v>0</v>
      </c>
      <c r="EA12" s="17"/>
      <c r="EB12" s="17"/>
      <c r="EC12" s="17"/>
      <c r="ED12" s="17"/>
      <c r="EE12" s="17"/>
      <c r="EF12" s="17"/>
      <c r="EG12" s="17"/>
      <c r="EH12" s="17"/>
      <c r="EI12" s="17"/>
      <c r="EJ12" s="17"/>
      <c r="EK12" s="17"/>
      <c r="EL12" s="17"/>
      <c r="EM12" s="19">
        <f t="shared" si="20"/>
        <v>0</v>
      </c>
      <c r="EO12" s="17"/>
      <c r="EP12" s="17"/>
      <c r="EQ12" s="17"/>
      <c r="ER12" s="17"/>
      <c r="ES12" s="17"/>
      <c r="ET12" s="17"/>
      <c r="EU12" s="17"/>
      <c r="EV12" s="17"/>
      <c r="EW12" s="17"/>
      <c r="EX12" s="17"/>
      <c r="EY12" s="17"/>
      <c r="EZ12" s="17"/>
      <c r="FA12" s="19">
        <f t="shared" si="21"/>
        <v>0</v>
      </c>
    </row>
    <row r="13" spans="1:219" x14ac:dyDescent="0.25">
      <c r="C13" s="16" t="s">
        <v>12</v>
      </c>
      <c r="E13" s="17">
        <v>800</v>
      </c>
      <c r="F13" s="17">
        <v>2250</v>
      </c>
      <c r="G13" s="17">
        <v>7700</v>
      </c>
      <c r="H13" s="17">
        <v>8100</v>
      </c>
      <c r="I13" s="17">
        <v>9300</v>
      </c>
      <c r="J13" s="17">
        <v>9900</v>
      </c>
      <c r="K13" s="17">
        <v>10057</v>
      </c>
      <c r="L13" s="17">
        <v>11097</v>
      </c>
      <c r="M13" s="17">
        <v>12156</v>
      </c>
      <c r="N13" s="17">
        <v>13345</v>
      </c>
      <c r="O13" s="17">
        <v>13980</v>
      </c>
      <c r="P13" s="17">
        <v>14763</v>
      </c>
      <c r="Q13" s="19">
        <f t="shared" si="11"/>
        <v>113448</v>
      </c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9">
        <f t="shared" si="12"/>
        <v>0</v>
      </c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9">
        <f t="shared" si="13"/>
        <v>0</v>
      </c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9">
        <f t="shared" si="14"/>
        <v>0</v>
      </c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9">
        <f t="shared" si="15"/>
        <v>0</v>
      </c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9">
        <f t="shared" si="16"/>
        <v>0</v>
      </c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9">
        <f t="shared" si="17"/>
        <v>0</v>
      </c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9">
        <f t="shared" si="18"/>
        <v>0</v>
      </c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9">
        <f t="shared" si="19"/>
        <v>0</v>
      </c>
      <c r="EA13" s="17"/>
      <c r="EB13" s="17"/>
      <c r="EC13" s="17"/>
      <c r="ED13" s="17"/>
      <c r="EE13" s="17"/>
      <c r="EF13" s="17"/>
      <c r="EG13" s="17"/>
      <c r="EH13" s="17"/>
      <c r="EI13" s="17"/>
      <c r="EJ13" s="17"/>
      <c r="EK13" s="17"/>
      <c r="EL13" s="17"/>
      <c r="EM13" s="19">
        <f t="shared" si="20"/>
        <v>0</v>
      </c>
      <c r="EO13" s="17"/>
      <c r="EP13" s="17"/>
      <c r="EQ13" s="17"/>
      <c r="ER13" s="17"/>
      <c r="ES13" s="17"/>
      <c r="ET13" s="17"/>
      <c r="EU13" s="17"/>
      <c r="EV13" s="17"/>
      <c r="EW13" s="17"/>
      <c r="EX13" s="17"/>
      <c r="EY13" s="17"/>
      <c r="EZ13" s="17"/>
      <c r="FA13" s="19">
        <f t="shared" si="21"/>
        <v>0</v>
      </c>
    </row>
    <row r="14" spans="1:219" ht="19.5" hidden="1" customHeight="1" x14ac:dyDescent="0.25">
      <c r="C14" s="16" t="s">
        <v>81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9">
        <f t="shared" si="11"/>
        <v>0</v>
      </c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9">
        <f t="shared" si="12"/>
        <v>0</v>
      </c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9">
        <f t="shared" si="13"/>
        <v>0</v>
      </c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9">
        <f t="shared" si="14"/>
        <v>0</v>
      </c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9">
        <f t="shared" si="15"/>
        <v>0</v>
      </c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9">
        <f t="shared" si="16"/>
        <v>0</v>
      </c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9">
        <f t="shared" si="17"/>
        <v>0</v>
      </c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9">
        <f t="shared" si="18"/>
        <v>0</v>
      </c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9">
        <f t="shared" si="19"/>
        <v>0</v>
      </c>
      <c r="EA14" s="17"/>
      <c r="EB14" s="17"/>
      <c r="EC14" s="17"/>
      <c r="ED14" s="17"/>
      <c r="EE14" s="17"/>
      <c r="EF14" s="17"/>
      <c r="EG14" s="17"/>
      <c r="EH14" s="17"/>
      <c r="EI14" s="17"/>
      <c r="EJ14" s="17"/>
      <c r="EK14" s="17"/>
      <c r="EL14" s="17"/>
      <c r="EM14" s="19">
        <f t="shared" si="20"/>
        <v>0</v>
      </c>
      <c r="EO14" s="17"/>
      <c r="EP14" s="17"/>
      <c r="EQ14" s="17"/>
      <c r="ER14" s="17"/>
      <c r="ES14" s="17"/>
      <c r="ET14" s="17"/>
      <c r="EU14" s="17"/>
      <c r="EV14" s="17"/>
      <c r="EW14" s="17"/>
      <c r="EX14" s="17"/>
      <c r="EY14" s="17"/>
      <c r="EZ14" s="17"/>
      <c r="FA14" s="19">
        <f t="shared" si="21"/>
        <v>0</v>
      </c>
    </row>
    <row r="15" spans="1:219" ht="15" hidden="1" customHeight="1" x14ac:dyDescent="0.25">
      <c r="C15" s="16" t="s">
        <v>7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9">
        <f t="shared" si="11"/>
        <v>0</v>
      </c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9">
        <f t="shared" si="12"/>
        <v>0</v>
      </c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9">
        <f t="shared" si="13"/>
        <v>0</v>
      </c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9">
        <f t="shared" si="14"/>
        <v>0</v>
      </c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9">
        <f t="shared" si="15"/>
        <v>0</v>
      </c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9">
        <f t="shared" si="16"/>
        <v>0</v>
      </c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9">
        <f t="shared" si="17"/>
        <v>0</v>
      </c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9">
        <f t="shared" si="18"/>
        <v>0</v>
      </c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9">
        <f t="shared" si="19"/>
        <v>0</v>
      </c>
      <c r="EA15" s="17"/>
      <c r="EB15" s="17"/>
      <c r="EC15" s="17"/>
      <c r="ED15" s="17"/>
      <c r="EE15" s="17"/>
      <c r="EF15" s="17"/>
      <c r="EG15" s="17"/>
      <c r="EH15" s="17"/>
      <c r="EI15" s="17"/>
      <c r="EJ15" s="17"/>
      <c r="EK15" s="17"/>
      <c r="EL15" s="17"/>
      <c r="EM15" s="19">
        <f t="shared" si="20"/>
        <v>0</v>
      </c>
      <c r="EO15" s="17"/>
      <c r="EP15" s="17"/>
      <c r="EQ15" s="17"/>
      <c r="ER15" s="17"/>
      <c r="ES15" s="17"/>
      <c r="ET15" s="17"/>
      <c r="EU15" s="17"/>
      <c r="EV15" s="17"/>
      <c r="EW15" s="17"/>
      <c r="EX15" s="17"/>
      <c r="EY15" s="17"/>
      <c r="EZ15" s="17"/>
      <c r="FA15" s="19">
        <f t="shared" si="21"/>
        <v>0</v>
      </c>
    </row>
    <row r="16" spans="1:219" ht="12" hidden="1" customHeight="1" x14ac:dyDescent="0.25">
      <c r="C16" s="16" t="s">
        <v>7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9">
        <f t="shared" si="11"/>
        <v>0</v>
      </c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9">
        <f t="shared" si="12"/>
        <v>0</v>
      </c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9">
        <f t="shared" si="13"/>
        <v>0</v>
      </c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9">
        <f t="shared" si="14"/>
        <v>0</v>
      </c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9">
        <f t="shared" si="15"/>
        <v>0</v>
      </c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9">
        <f t="shared" si="16"/>
        <v>0</v>
      </c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9">
        <f t="shared" si="17"/>
        <v>0</v>
      </c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9">
        <f t="shared" si="18"/>
        <v>0</v>
      </c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9">
        <f t="shared" si="19"/>
        <v>0</v>
      </c>
      <c r="EA16" s="17"/>
      <c r="EB16" s="17"/>
      <c r="EC16" s="17"/>
      <c r="ED16" s="17"/>
      <c r="EE16" s="17"/>
      <c r="EF16" s="17"/>
      <c r="EG16" s="17"/>
      <c r="EH16" s="17"/>
      <c r="EI16" s="17"/>
      <c r="EJ16" s="17"/>
      <c r="EK16" s="17"/>
      <c r="EL16" s="17"/>
      <c r="EM16" s="19">
        <f t="shared" si="20"/>
        <v>0</v>
      </c>
      <c r="EO16" s="17"/>
      <c r="EP16" s="17"/>
      <c r="EQ16" s="17"/>
      <c r="ER16" s="17"/>
      <c r="ES16" s="17"/>
      <c r="ET16" s="17"/>
      <c r="EU16" s="17"/>
      <c r="EV16" s="17"/>
      <c r="EW16" s="17"/>
      <c r="EX16" s="17"/>
      <c r="EY16" s="17"/>
      <c r="EZ16" s="17"/>
      <c r="FA16" s="19">
        <f t="shared" si="21"/>
        <v>0</v>
      </c>
    </row>
    <row r="17" spans="3:157" ht="17.25" hidden="1" customHeight="1" x14ac:dyDescent="0.25">
      <c r="C17" s="16" t="s">
        <v>7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9">
        <f t="shared" si="11"/>
        <v>0</v>
      </c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9">
        <f t="shared" si="12"/>
        <v>0</v>
      </c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9">
        <f t="shared" si="13"/>
        <v>0</v>
      </c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9">
        <f t="shared" si="14"/>
        <v>0</v>
      </c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9">
        <f t="shared" si="15"/>
        <v>0</v>
      </c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9">
        <f t="shared" si="16"/>
        <v>0</v>
      </c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9">
        <f t="shared" si="17"/>
        <v>0</v>
      </c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9">
        <f t="shared" si="18"/>
        <v>0</v>
      </c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9">
        <f t="shared" si="19"/>
        <v>0</v>
      </c>
      <c r="EA17" s="17"/>
      <c r="EB17" s="17"/>
      <c r="EC17" s="17"/>
      <c r="ED17" s="17"/>
      <c r="EE17" s="17"/>
      <c r="EF17" s="17"/>
      <c r="EG17" s="17"/>
      <c r="EH17" s="17"/>
      <c r="EI17" s="17"/>
      <c r="EJ17" s="17"/>
      <c r="EK17" s="17"/>
      <c r="EL17" s="17"/>
      <c r="EM17" s="19">
        <f t="shared" si="20"/>
        <v>0</v>
      </c>
      <c r="EO17" s="17"/>
      <c r="EP17" s="17"/>
      <c r="EQ17" s="17"/>
      <c r="ER17" s="17"/>
      <c r="ES17" s="17"/>
      <c r="ET17" s="17"/>
      <c r="EU17" s="17"/>
      <c r="EV17" s="17"/>
      <c r="EW17" s="17"/>
      <c r="EX17" s="17"/>
      <c r="EY17" s="17"/>
      <c r="EZ17" s="17"/>
      <c r="FA17" s="19">
        <f t="shared" si="21"/>
        <v>0</v>
      </c>
    </row>
    <row r="18" spans="3:157" ht="11.25" hidden="1" customHeight="1" x14ac:dyDescent="0.25">
      <c r="C18" s="16" t="s">
        <v>7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9">
        <f t="shared" si="11"/>
        <v>0</v>
      </c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9">
        <f t="shared" si="12"/>
        <v>0</v>
      </c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9">
        <f t="shared" si="13"/>
        <v>0</v>
      </c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9">
        <f t="shared" si="14"/>
        <v>0</v>
      </c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9">
        <f t="shared" si="15"/>
        <v>0</v>
      </c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9">
        <f t="shared" si="16"/>
        <v>0</v>
      </c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9">
        <f t="shared" si="17"/>
        <v>0</v>
      </c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9">
        <f t="shared" si="18"/>
        <v>0</v>
      </c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/>
      <c r="DX18" s="17"/>
      <c r="DY18" s="19">
        <f t="shared" si="19"/>
        <v>0</v>
      </c>
      <c r="EA18" s="17"/>
      <c r="EB18" s="17"/>
      <c r="EC18" s="17"/>
      <c r="ED18" s="17"/>
      <c r="EE18" s="17"/>
      <c r="EF18" s="17"/>
      <c r="EG18" s="17"/>
      <c r="EH18" s="17"/>
      <c r="EI18" s="17"/>
      <c r="EJ18" s="17"/>
      <c r="EK18" s="17"/>
      <c r="EL18" s="17"/>
      <c r="EM18" s="19">
        <f t="shared" si="20"/>
        <v>0</v>
      </c>
      <c r="EO18" s="17"/>
      <c r="EP18" s="17"/>
      <c r="EQ18" s="17"/>
      <c r="ER18" s="17"/>
      <c r="ES18" s="17"/>
      <c r="ET18" s="17"/>
      <c r="EU18" s="17"/>
      <c r="EV18" s="17"/>
      <c r="EW18" s="17"/>
      <c r="EX18" s="17"/>
      <c r="EY18" s="17"/>
      <c r="EZ18" s="17"/>
      <c r="FA18" s="19">
        <f t="shared" si="21"/>
        <v>0</v>
      </c>
    </row>
    <row r="19" spans="3:157" ht="10.5" hidden="1" customHeight="1" x14ac:dyDescent="0.25">
      <c r="C19" s="16" t="s">
        <v>7</v>
      </c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9">
        <f t="shared" si="11"/>
        <v>0</v>
      </c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9">
        <f t="shared" si="12"/>
        <v>0</v>
      </c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9">
        <f t="shared" si="13"/>
        <v>0</v>
      </c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9">
        <f t="shared" si="14"/>
        <v>0</v>
      </c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9">
        <f t="shared" si="15"/>
        <v>0</v>
      </c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9">
        <f t="shared" si="16"/>
        <v>0</v>
      </c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9">
        <f t="shared" si="17"/>
        <v>0</v>
      </c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9">
        <f t="shared" si="18"/>
        <v>0</v>
      </c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9">
        <f t="shared" si="19"/>
        <v>0</v>
      </c>
      <c r="EA19" s="17"/>
      <c r="EB19" s="17"/>
      <c r="EC19" s="17"/>
      <c r="ED19" s="17"/>
      <c r="EE19" s="17"/>
      <c r="EF19" s="17"/>
      <c r="EG19" s="17"/>
      <c r="EH19" s="17"/>
      <c r="EI19" s="17"/>
      <c r="EJ19" s="17"/>
      <c r="EK19" s="17"/>
      <c r="EL19" s="17"/>
      <c r="EM19" s="19">
        <f t="shared" si="20"/>
        <v>0</v>
      </c>
      <c r="EO19" s="17"/>
      <c r="EP19" s="17"/>
      <c r="EQ19" s="17"/>
      <c r="ER19" s="17"/>
      <c r="ES19" s="17"/>
      <c r="ET19" s="17"/>
      <c r="EU19" s="17"/>
      <c r="EV19" s="17"/>
      <c r="EW19" s="17"/>
      <c r="EX19" s="17"/>
      <c r="EY19" s="17"/>
      <c r="EZ19" s="17"/>
      <c r="FA19" s="19">
        <f t="shared" si="21"/>
        <v>0</v>
      </c>
    </row>
    <row r="20" spans="3:157" ht="8.25" hidden="1" customHeight="1" x14ac:dyDescent="0.25">
      <c r="C20" s="16" t="s">
        <v>7</v>
      </c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9">
        <f t="shared" si="11"/>
        <v>0</v>
      </c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9">
        <f t="shared" si="12"/>
        <v>0</v>
      </c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9">
        <f t="shared" si="13"/>
        <v>0</v>
      </c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9">
        <f t="shared" si="14"/>
        <v>0</v>
      </c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9">
        <f t="shared" si="15"/>
        <v>0</v>
      </c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9">
        <f t="shared" si="16"/>
        <v>0</v>
      </c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9">
        <f t="shared" si="17"/>
        <v>0</v>
      </c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9">
        <f t="shared" si="18"/>
        <v>0</v>
      </c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9">
        <f t="shared" si="19"/>
        <v>0</v>
      </c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7"/>
      <c r="EL20" s="17"/>
      <c r="EM20" s="19">
        <f t="shared" si="20"/>
        <v>0</v>
      </c>
      <c r="EO20" s="17"/>
      <c r="EP20" s="17"/>
      <c r="EQ20" s="17"/>
      <c r="ER20" s="17"/>
      <c r="ES20" s="17"/>
      <c r="ET20" s="17"/>
      <c r="EU20" s="17"/>
      <c r="EV20" s="17"/>
      <c r="EW20" s="17"/>
      <c r="EX20" s="17"/>
      <c r="EY20" s="17"/>
      <c r="EZ20" s="17"/>
      <c r="FA20" s="19">
        <f t="shared" si="21"/>
        <v>0</v>
      </c>
    </row>
    <row r="21" spans="3:157" ht="10.5" hidden="1" customHeight="1" x14ac:dyDescent="0.25">
      <c r="C21" s="16" t="s">
        <v>7</v>
      </c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9">
        <f t="shared" si="11"/>
        <v>0</v>
      </c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9">
        <f t="shared" si="12"/>
        <v>0</v>
      </c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9">
        <f t="shared" si="13"/>
        <v>0</v>
      </c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9">
        <f t="shared" si="14"/>
        <v>0</v>
      </c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9">
        <f t="shared" si="15"/>
        <v>0</v>
      </c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9">
        <f t="shared" si="16"/>
        <v>0</v>
      </c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9">
        <f t="shared" si="17"/>
        <v>0</v>
      </c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9">
        <f t="shared" si="18"/>
        <v>0</v>
      </c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9">
        <f t="shared" si="19"/>
        <v>0</v>
      </c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7"/>
      <c r="EL21" s="17"/>
      <c r="EM21" s="19">
        <f t="shared" si="20"/>
        <v>0</v>
      </c>
      <c r="EO21" s="17"/>
      <c r="EP21" s="17"/>
      <c r="EQ21" s="17"/>
      <c r="ER21" s="17"/>
      <c r="ES21" s="17"/>
      <c r="ET21" s="17"/>
      <c r="EU21" s="17"/>
      <c r="EV21" s="17"/>
      <c r="EW21" s="17"/>
      <c r="EX21" s="17"/>
      <c r="EY21" s="17"/>
      <c r="EZ21" s="17"/>
      <c r="FA21" s="19">
        <f t="shared" si="21"/>
        <v>0</v>
      </c>
    </row>
    <row r="22" spans="3:157" ht="11.25" hidden="1" customHeight="1" x14ac:dyDescent="0.25">
      <c r="C22" s="16" t="s">
        <v>7</v>
      </c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9">
        <f t="shared" si="11"/>
        <v>0</v>
      </c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9">
        <f t="shared" si="12"/>
        <v>0</v>
      </c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9">
        <f t="shared" si="13"/>
        <v>0</v>
      </c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9">
        <f t="shared" si="14"/>
        <v>0</v>
      </c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9">
        <f t="shared" si="15"/>
        <v>0</v>
      </c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9">
        <f t="shared" si="16"/>
        <v>0</v>
      </c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9">
        <f t="shared" si="17"/>
        <v>0</v>
      </c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9">
        <f t="shared" si="18"/>
        <v>0</v>
      </c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9">
        <f t="shared" si="19"/>
        <v>0</v>
      </c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7"/>
      <c r="EL22" s="17"/>
      <c r="EM22" s="19">
        <f t="shared" si="20"/>
        <v>0</v>
      </c>
      <c r="EO22" s="17"/>
      <c r="EP22" s="17"/>
      <c r="EQ22" s="17"/>
      <c r="ER22" s="17"/>
      <c r="ES22" s="17"/>
      <c r="ET22" s="17"/>
      <c r="EU22" s="17"/>
      <c r="EV22" s="17"/>
      <c r="EW22" s="17"/>
      <c r="EX22" s="17"/>
      <c r="EY22" s="17"/>
      <c r="EZ22" s="17"/>
      <c r="FA22" s="19">
        <f t="shared" si="21"/>
        <v>0</v>
      </c>
    </row>
    <row r="23" spans="3:157" ht="15" hidden="1" customHeight="1" x14ac:dyDescent="0.25">
      <c r="C23" s="16" t="s">
        <v>81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9">
        <f t="shared" si="11"/>
        <v>0</v>
      </c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9">
        <f t="shared" si="12"/>
        <v>0</v>
      </c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9">
        <f t="shared" si="13"/>
        <v>0</v>
      </c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9">
        <f t="shared" si="14"/>
        <v>0</v>
      </c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9">
        <f t="shared" si="15"/>
        <v>0</v>
      </c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9">
        <f t="shared" si="16"/>
        <v>0</v>
      </c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9">
        <f t="shared" si="17"/>
        <v>0</v>
      </c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9">
        <f t="shared" si="18"/>
        <v>0</v>
      </c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9">
        <f t="shared" si="19"/>
        <v>0</v>
      </c>
      <c r="EA23" s="17"/>
      <c r="EB23" s="17"/>
      <c r="EC23" s="17"/>
      <c r="ED23" s="17"/>
      <c r="EE23" s="17"/>
      <c r="EF23" s="17"/>
      <c r="EG23" s="17"/>
      <c r="EH23" s="17"/>
      <c r="EI23" s="17"/>
      <c r="EJ23" s="17"/>
      <c r="EK23" s="17"/>
      <c r="EL23" s="17"/>
      <c r="EM23" s="19">
        <f t="shared" si="20"/>
        <v>0</v>
      </c>
      <c r="EO23" s="17"/>
      <c r="EP23" s="17"/>
      <c r="EQ23" s="17"/>
      <c r="ER23" s="17"/>
      <c r="ES23" s="17"/>
      <c r="ET23" s="17"/>
      <c r="EU23" s="17"/>
      <c r="EV23" s="17"/>
      <c r="EW23" s="17"/>
      <c r="EX23" s="17"/>
      <c r="EY23" s="17"/>
      <c r="EZ23" s="17"/>
      <c r="FA23" s="19">
        <f t="shared" si="21"/>
        <v>0</v>
      </c>
    </row>
    <row r="24" spans="3:157" x14ac:dyDescent="0.25">
      <c r="C24" s="13" t="s">
        <v>8</v>
      </c>
      <c r="E24" s="18" cm="1">
        <f t="array" aca="1" ref="E24" ca="1">SUM(INDIRECT(ADDRESS(income_min_row,COLUMN()) &amp;":"&amp; ADDRESS(income_max_row,COLUMN())))</f>
        <v>26940</v>
      </c>
      <c r="F24" s="18" cm="1">
        <f t="array" aca="1" ref="F24" ca="1">SUM(INDIRECT(ADDRESS(income_min_row,COLUMN()) &amp;":"&amp; ADDRESS(income_max_row,COLUMN())))</f>
        <v>88604</v>
      </c>
      <c r="G24" s="18" cm="1">
        <f t="array" aca="1" ref="G24" ca="1">SUM(INDIRECT(ADDRESS(income_min_row,COLUMN()) &amp;":"&amp; ADDRESS(income_max_row,COLUMN())))</f>
        <v>99556</v>
      </c>
      <c r="H24" s="18" cm="1">
        <f t="array" aca="1" ref="H24" ca="1">SUM(INDIRECT(ADDRESS(income_min_row,COLUMN()) &amp;":"&amp; ADDRESS(income_max_row,COLUMN())))</f>
        <v>102199</v>
      </c>
      <c r="I24" s="18" cm="1">
        <f t="array" aca="1" ref="I24" ca="1">SUM(INDIRECT(ADDRESS(income_min_row,COLUMN()) &amp;":"&amp; ADDRESS(income_max_row,COLUMN())))</f>
        <v>107753</v>
      </c>
      <c r="J24" s="18" cm="1">
        <f t="array" aca="1" ref="J24" ca="1">SUM(INDIRECT(ADDRESS(income_min_row,COLUMN()) &amp;":"&amp; ADDRESS(income_max_row,COLUMN())))</f>
        <v>111703</v>
      </c>
      <c r="K24" s="18" cm="1">
        <f t="array" aca="1" ref="K24" ca="1">SUM(INDIRECT(ADDRESS(income_min_row,COLUMN()) &amp;":"&amp; ADDRESS(income_max_row,COLUMN())))</f>
        <v>117736</v>
      </c>
      <c r="L24" s="18" cm="1">
        <f t="array" aca="1" ref="L24" ca="1">SUM(INDIRECT(ADDRESS(income_min_row,COLUMN()) &amp;":"&amp; ADDRESS(income_max_row,COLUMN())))</f>
        <v>124813</v>
      </c>
      <c r="M24" s="18" cm="1">
        <f t="array" aca="1" ref="M24" ca="1">SUM(INDIRECT(ADDRESS(income_min_row,COLUMN()) &amp;":"&amp; ADDRESS(income_max_row,COLUMN())))</f>
        <v>132833</v>
      </c>
      <c r="N24" s="18" cm="1">
        <f t="array" aca="1" ref="N24" ca="1">SUM(INDIRECT(ADDRESS(income_min_row,COLUMN()) &amp;":"&amp; ADDRESS(income_max_row,COLUMN())))</f>
        <v>135295</v>
      </c>
      <c r="O24" s="18" cm="1">
        <f t="array" aca="1" ref="O24" ca="1">SUM(INDIRECT(ADDRESS(income_min_row,COLUMN()) &amp;":"&amp; ADDRESS(income_max_row,COLUMN())))</f>
        <v>138509</v>
      </c>
      <c r="P24" s="18" cm="1">
        <f t="array" aca="1" ref="P24" ca="1">SUM(INDIRECT(ADDRESS(income_min_row,COLUMN()) &amp;":"&amp; ADDRESS(income_max_row,COLUMN())))</f>
        <v>139942</v>
      </c>
      <c r="Q24" s="18" cm="1">
        <f t="array" aca="1" ref="Q24" ca="1">SUM(INDIRECT(ADDRESS(income_min_row,COLUMN()) &amp;":"&amp; ADDRESS(income_max_row,COLUMN())))</f>
        <v>1325883</v>
      </c>
      <c r="S24" s="18" cm="1">
        <f t="array" aca="1" ref="S24" ca="1">SUM(INDIRECT(ADDRESS(income_min_row,COLUMN()) &amp;":"&amp; ADDRESS(income_max_row,COLUMN())))</f>
        <v>0</v>
      </c>
      <c r="T24" s="18" cm="1">
        <f t="array" aca="1" ref="T24" ca="1">SUM(INDIRECT(ADDRESS(income_min_row,COLUMN()) &amp;":"&amp; ADDRESS(income_max_row,COLUMN())))</f>
        <v>0</v>
      </c>
      <c r="U24" s="18" cm="1">
        <f t="array" aca="1" ref="U24" ca="1">SUM(INDIRECT(ADDRESS(income_min_row,COLUMN()) &amp;":"&amp; ADDRESS(income_max_row,COLUMN())))</f>
        <v>0</v>
      </c>
      <c r="V24" s="18" cm="1">
        <f t="array" aca="1" ref="V24" ca="1">SUM(INDIRECT(ADDRESS(income_min_row,COLUMN()) &amp;":"&amp; ADDRESS(income_max_row,COLUMN())))</f>
        <v>0</v>
      </c>
      <c r="W24" s="18" cm="1">
        <f t="array" aca="1" ref="W24" ca="1">SUM(INDIRECT(ADDRESS(income_min_row,COLUMN()) &amp;":"&amp; ADDRESS(income_max_row,COLUMN())))</f>
        <v>0</v>
      </c>
      <c r="X24" s="18" cm="1">
        <f t="array" aca="1" ref="X24" ca="1">SUM(INDIRECT(ADDRESS(income_min_row,COLUMN()) &amp;":"&amp; ADDRESS(income_max_row,COLUMN())))</f>
        <v>0</v>
      </c>
      <c r="Y24" s="18" cm="1">
        <f t="array" aca="1" ref="Y24" ca="1">SUM(INDIRECT(ADDRESS(income_min_row,COLUMN()) &amp;":"&amp; ADDRESS(income_max_row,COLUMN())))</f>
        <v>0</v>
      </c>
      <c r="Z24" s="18" cm="1">
        <f t="array" aca="1" ref="Z24" ca="1">SUM(INDIRECT(ADDRESS(income_min_row,COLUMN()) &amp;":"&amp; ADDRESS(income_max_row,COLUMN())))</f>
        <v>0</v>
      </c>
      <c r="AA24" s="18" cm="1">
        <f t="array" aca="1" ref="AA24" ca="1">SUM(INDIRECT(ADDRESS(income_min_row,COLUMN()) &amp;":"&amp; ADDRESS(income_max_row,COLUMN())))</f>
        <v>0</v>
      </c>
      <c r="AB24" s="18" cm="1">
        <f t="array" aca="1" ref="AB24" ca="1">SUM(INDIRECT(ADDRESS(income_min_row,COLUMN()) &amp;":"&amp; ADDRESS(income_max_row,COLUMN())))</f>
        <v>0</v>
      </c>
      <c r="AC24" s="18" cm="1">
        <f t="array" aca="1" ref="AC24" ca="1">SUM(INDIRECT(ADDRESS(income_min_row,COLUMN()) &amp;":"&amp; ADDRESS(income_max_row,COLUMN())))</f>
        <v>0</v>
      </c>
      <c r="AD24" s="18" cm="1">
        <f t="array" aca="1" ref="AD24" ca="1">SUM(INDIRECT(ADDRESS(income_min_row,COLUMN()) &amp;":"&amp; ADDRESS(income_max_row,COLUMN())))</f>
        <v>0</v>
      </c>
      <c r="AE24" s="18" cm="1">
        <f t="array" aca="1" ref="AE24" ca="1">SUM(INDIRECT(ADDRESS(income_min_row,COLUMN()) &amp;":"&amp; ADDRESS(income_max_row,COLUMN())))</f>
        <v>0</v>
      </c>
      <c r="AG24" s="18" cm="1">
        <f t="array" aca="1" ref="AG24" ca="1">SUM(INDIRECT(ADDRESS(income_min_row,COLUMN()) &amp;":"&amp; ADDRESS(income_max_row,COLUMN())))</f>
        <v>0</v>
      </c>
      <c r="AH24" s="18" cm="1">
        <f t="array" aca="1" ref="AH24" ca="1">SUM(INDIRECT(ADDRESS(income_min_row,COLUMN()) &amp;":"&amp; ADDRESS(income_max_row,COLUMN())))</f>
        <v>0</v>
      </c>
      <c r="AI24" s="18" cm="1">
        <f t="array" aca="1" ref="AI24" ca="1">SUM(INDIRECT(ADDRESS(income_min_row,COLUMN()) &amp;":"&amp; ADDRESS(income_max_row,COLUMN())))</f>
        <v>0</v>
      </c>
      <c r="AJ24" s="18" cm="1">
        <f t="array" aca="1" ref="AJ24" ca="1">SUM(INDIRECT(ADDRESS(income_min_row,COLUMN()) &amp;":"&amp; ADDRESS(income_max_row,COLUMN())))</f>
        <v>0</v>
      </c>
      <c r="AK24" s="18" cm="1">
        <f t="array" aca="1" ref="AK24" ca="1">SUM(INDIRECT(ADDRESS(income_min_row,COLUMN()) &amp;":"&amp; ADDRESS(income_max_row,COLUMN())))</f>
        <v>0</v>
      </c>
      <c r="AL24" s="18" cm="1">
        <f t="array" aca="1" ref="AL24" ca="1">SUM(INDIRECT(ADDRESS(income_min_row,COLUMN()) &amp;":"&amp; ADDRESS(income_max_row,COLUMN())))</f>
        <v>0</v>
      </c>
      <c r="AM24" s="18" cm="1">
        <f t="array" aca="1" ref="AM24" ca="1">SUM(INDIRECT(ADDRESS(income_min_row,COLUMN()) &amp;":"&amp; ADDRESS(income_max_row,COLUMN())))</f>
        <v>0</v>
      </c>
      <c r="AN24" s="18" cm="1">
        <f t="array" aca="1" ref="AN24" ca="1">SUM(INDIRECT(ADDRESS(income_min_row,COLUMN()) &amp;":"&amp; ADDRESS(income_max_row,COLUMN())))</f>
        <v>0</v>
      </c>
      <c r="AO24" s="18" cm="1">
        <f t="array" aca="1" ref="AO24" ca="1">SUM(INDIRECT(ADDRESS(income_min_row,COLUMN()) &amp;":"&amp; ADDRESS(income_max_row,COLUMN())))</f>
        <v>0</v>
      </c>
      <c r="AP24" s="18" cm="1">
        <f t="array" aca="1" ref="AP24" ca="1">SUM(INDIRECT(ADDRESS(income_min_row,COLUMN()) &amp;":"&amp; ADDRESS(income_max_row,COLUMN())))</f>
        <v>0</v>
      </c>
      <c r="AQ24" s="18" cm="1">
        <f t="array" aca="1" ref="AQ24" ca="1">SUM(INDIRECT(ADDRESS(income_min_row,COLUMN()) &amp;":"&amp; ADDRESS(income_max_row,COLUMN())))</f>
        <v>0</v>
      </c>
      <c r="AR24" s="18" cm="1">
        <f t="array" aca="1" ref="AR24" ca="1">SUM(INDIRECT(ADDRESS(income_min_row,COLUMN()) &amp;":"&amp; ADDRESS(income_max_row,COLUMN())))</f>
        <v>0</v>
      </c>
      <c r="AS24" s="18" cm="1">
        <f t="array" aca="1" ref="AS24" ca="1">SUM(INDIRECT(ADDRESS(income_min_row,COLUMN()) &amp;":"&amp; ADDRESS(income_max_row,COLUMN())))</f>
        <v>0</v>
      </c>
      <c r="AU24" s="18" cm="1">
        <f t="array" aca="1" ref="AU24" ca="1">SUM(INDIRECT(ADDRESS(income_min_row,COLUMN()) &amp;":"&amp; ADDRESS(income_max_row,COLUMN())))</f>
        <v>0</v>
      </c>
      <c r="AV24" s="18" cm="1">
        <f t="array" aca="1" ref="AV24" ca="1">SUM(INDIRECT(ADDRESS(income_min_row,COLUMN()) &amp;":"&amp; ADDRESS(income_max_row,COLUMN())))</f>
        <v>0</v>
      </c>
      <c r="AW24" s="18" cm="1">
        <f t="array" aca="1" ref="AW24" ca="1">SUM(INDIRECT(ADDRESS(income_min_row,COLUMN()) &amp;":"&amp; ADDRESS(income_max_row,COLUMN())))</f>
        <v>0</v>
      </c>
      <c r="AX24" s="18" cm="1">
        <f t="array" aca="1" ref="AX24" ca="1">SUM(INDIRECT(ADDRESS(income_min_row,COLUMN()) &amp;":"&amp; ADDRESS(income_max_row,COLUMN())))</f>
        <v>0</v>
      </c>
      <c r="AY24" s="18" cm="1">
        <f t="array" aca="1" ref="AY24" ca="1">SUM(INDIRECT(ADDRESS(income_min_row,COLUMN()) &amp;":"&amp; ADDRESS(income_max_row,COLUMN())))</f>
        <v>0</v>
      </c>
      <c r="AZ24" s="18" cm="1">
        <f t="array" aca="1" ref="AZ24" ca="1">SUM(INDIRECT(ADDRESS(income_min_row,COLUMN()) &amp;":"&amp; ADDRESS(income_max_row,COLUMN())))</f>
        <v>0</v>
      </c>
      <c r="BA24" s="18" cm="1">
        <f t="array" aca="1" ref="BA24" ca="1">SUM(INDIRECT(ADDRESS(income_min_row,COLUMN()) &amp;":"&amp; ADDRESS(income_max_row,COLUMN())))</f>
        <v>0</v>
      </c>
      <c r="BB24" s="18" cm="1">
        <f t="array" aca="1" ref="BB24" ca="1">SUM(INDIRECT(ADDRESS(income_min_row,COLUMN()) &amp;":"&amp; ADDRESS(income_max_row,COLUMN())))</f>
        <v>0</v>
      </c>
      <c r="BC24" s="18" cm="1">
        <f t="array" aca="1" ref="BC24" ca="1">SUM(INDIRECT(ADDRESS(income_min_row,COLUMN()) &amp;":"&amp; ADDRESS(income_max_row,COLUMN())))</f>
        <v>0</v>
      </c>
      <c r="BD24" s="18" cm="1">
        <f t="array" aca="1" ref="BD24" ca="1">SUM(INDIRECT(ADDRESS(income_min_row,COLUMN()) &amp;":"&amp; ADDRESS(income_max_row,COLUMN())))</f>
        <v>0</v>
      </c>
      <c r="BE24" s="18" cm="1">
        <f t="array" aca="1" ref="BE24" ca="1">SUM(INDIRECT(ADDRESS(income_min_row,COLUMN()) &amp;":"&amp; ADDRESS(income_max_row,COLUMN())))</f>
        <v>0</v>
      </c>
      <c r="BF24" s="18" cm="1">
        <f t="array" aca="1" ref="BF24" ca="1">SUM(INDIRECT(ADDRESS(income_min_row,COLUMN()) &amp;":"&amp; ADDRESS(income_max_row,COLUMN())))</f>
        <v>0</v>
      </c>
      <c r="BG24" s="18" cm="1">
        <f t="array" aca="1" ref="BG24" ca="1">SUM(INDIRECT(ADDRESS(income_min_row,COLUMN()) &amp;":"&amp; ADDRESS(income_max_row,COLUMN())))</f>
        <v>0</v>
      </c>
      <c r="BI24" s="18" cm="1">
        <f t="array" aca="1" ref="BI24" ca="1">SUM(INDIRECT(ADDRESS(income_min_row,COLUMN()) &amp;":"&amp; ADDRESS(income_max_row,COLUMN())))</f>
        <v>0</v>
      </c>
      <c r="BJ24" s="18" cm="1">
        <f t="array" aca="1" ref="BJ24" ca="1">SUM(INDIRECT(ADDRESS(income_min_row,COLUMN()) &amp;":"&amp; ADDRESS(income_max_row,COLUMN())))</f>
        <v>0</v>
      </c>
      <c r="BK24" s="18" cm="1">
        <f t="array" aca="1" ref="BK24" ca="1">SUM(INDIRECT(ADDRESS(income_min_row,COLUMN()) &amp;":"&amp; ADDRESS(income_max_row,COLUMN())))</f>
        <v>0</v>
      </c>
      <c r="BL24" s="18" cm="1">
        <f t="array" aca="1" ref="BL24" ca="1">SUM(INDIRECT(ADDRESS(income_min_row,COLUMN()) &amp;":"&amp; ADDRESS(income_max_row,COLUMN())))</f>
        <v>0</v>
      </c>
      <c r="BM24" s="18" cm="1">
        <f t="array" aca="1" ref="BM24" ca="1">SUM(INDIRECT(ADDRESS(income_min_row,COLUMN()) &amp;":"&amp; ADDRESS(income_max_row,COLUMN())))</f>
        <v>0</v>
      </c>
      <c r="BN24" s="18" cm="1">
        <f t="array" aca="1" ref="BN24" ca="1">SUM(INDIRECT(ADDRESS(income_min_row,COLUMN()) &amp;":"&amp; ADDRESS(income_max_row,COLUMN())))</f>
        <v>0</v>
      </c>
      <c r="BO24" s="18" cm="1">
        <f t="array" aca="1" ref="BO24" ca="1">SUM(INDIRECT(ADDRESS(income_min_row,COLUMN()) &amp;":"&amp; ADDRESS(income_max_row,COLUMN())))</f>
        <v>0</v>
      </c>
      <c r="BP24" s="18" cm="1">
        <f t="array" aca="1" ref="BP24" ca="1">SUM(INDIRECT(ADDRESS(income_min_row,COLUMN()) &amp;":"&amp; ADDRESS(income_max_row,COLUMN())))</f>
        <v>0</v>
      </c>
      <c r="BQ24" s="18" cm="1">
        <f t="array" aca="1" ref="BQ24" ca="1">SUM(INDIRECT(ADDRESS(income_min_row,COLUMN()) &amp;":"&amp; ADDRESS(income_max_row,COLUMN())))</f>
        <v>0</v>
      </c>
      <c r="BR24" s="18" cm="1">
        <f t="array" aca="1" ref="BR24" ca="1">SUM(INDIRECT(ADDRESS(income_min_row,COLUMN()) &amp;":"&amp; ADDRESS(income_max_row,COLUMN())))</f>
        <v>0</v>
      </c>
      <c r="BS24" s="18" cm="1">
        <f t="array" aca="1" ref="BS24" ca="1">SUM(INDIRECT(ADDRESS(income_min_row,COLUMN()) &amp;":"&amp; ADDRESS(income_max_row,COLUMN())))</f>
        <v>0</v>
      </c>
      <c r="BT24" s="18" cm="1">
        <f t="array" aca="1" ref="BT24" ca="1">SUM(INDIRECT(ADDRESS(income_min_row,COLUMN()) &amp;":"&amp; ADDRESS(income_max_row,COLUMN())))</f>
        <v>0</v>
      </c>
      <c r="BU24" s="18" cm="1">
        <f t="array" aca="1" ref="BU24" ca="1">SUM(INDIRECT(ADDRESS(income_min_row,COLUMN()) &amp;":"&amp; ADDRESS(income_max_row,COLUMN())))</f>
        <v>0</v>
      </c>
      <c r="BW24" s="18" cm="1">
        <f t="array" aca="1" ref="BW24" ca="1">SUM(INDIRECT(ADDRESS(income_min_row,COLUMN()) &amp;":"&amp; ADDRESS(income_max_row,COLUMN())))</f>
        <v>0</v>
      </c>
      <c r="BX24" s="18" cm="1">
        <f t="array" aca="1" ref="BX24" ca="1">SUM(INDIRECT(ADDRESS(income_min_row,COLUMN()) &amp;":"&amp; ADDRESS(income_max_row,COLUMN())))</f>
        <v>0</v>
      </c>
      <c r="BY24" s="18" cm="1">
        <f t="array" aca="1" ref="BY24" ca="1">SUM(INDIRECT(ADDRESS(income_min_row,COLUMN()) &amp;":"&amp; ADDRESS(income_max_row,COLUMN())))</f>
        <v>0</v>
      </c>
      <c r="BZ24" s="18" cm="1">
        <f t="array" aca="1" ref="BZ24" ca="1">SUM(INDIRECT(ADDRESS(income_min_row,COLUMN()) &amp;":"&amp; ADDRESS(income_max_row,COLUMN())))</f>
        <v>0</v>
      </c>
      <c r="CA24" s="18" cm="1">
        <f t="array" aca="1" ref="CA24" ca="1">SUM(INDIRECT(ADDRESS(income_min_row,COLUMN()) &amp;":"&amp; ADDRESS(income_max_row,COLUMN())))</f>
        <v>0</v>
      </c>
      <c r="CB24" s="18" cm="1">
        <f t="array" aca="1" ref="CB24" ca="1">SUM(INDIRECT(ADDRESS(income_min_row,COLUMN()) &amp;":"&amp; ADDRESS(income_max_row,COLUMN())))</f>
        <v>0</v>
      </c>
      <c r="CC24" s="18" cm="1">
        <f t="array" aca="1" ref="CC24" ca="1">SUM(INDIRECT(ADDRESS(income_min_row,COLUMN()) &amp;":"&amp; ADDRESS(income_max_row,COLUMN())))</f>
        <v>0</v>
      </c>
      <c r="CD24" s="18" cm="1">
        <f t="array" aca="1" ref="CD24" ca="1">SUM(INDIRECT(ADDRESS(income_min_row,COLUMN()) &amp;":"&amp; ADDRESS(income_max_row,COLUMN())))</f>
        <v>0</v>
      </c>
      <c r="CE24" s="18" cm="1">
        <f t="array" aca="1" ref="CE24" ca="1">SUM(INDIRECT(ADDRESS(income_min_row,COLUMN()) &amp;":"&amp; ADDRESS(income_max_row,COLUMN())))</f>
        <v>0</v>
      </c>
      <c r="CF24" s="18" cm="1">
        <f t="array" aca="1" ref="CF24" ca="1">SUM(INDIRECT(ADDRESS(income_min_row,COLUMN()) &amp;":"&amp; ADDRESS(income_max_row,COLUMN())))</f>
        <v>0</v>
      </c>
      <c r="CG24" s="18" cm="1">
        <f t="array" aca="1" ref="CG24" ca="1">SUM(INDIRECT(ADDRESS(income_min_row,COLUMN()) &amp;":"&amp; ADDRESS(income_max_row,COLUMN())))</f>
        <v>0</v>
      </c>
      <c r="CH24" s="18" cm="1">
        <f t="array" aca="1" ref="CH24" ca="1">SUM(INDIRECT(ADDRESS(income_min_row,COLUMN()) &amp;":"&amp; ADDRESS(income_max_row,COLUMN())))</f>
        <v>0</v>
      </c>
      <c r="CI24" s="18" cm="1">
        <f t="array" aca="1" ref="CI24" ca="1">SUM(INDIRECT(ADDRESS(income_min_row,COLUMN()) &amp;":"&amp; ADDRESS(income_max_row,COLUMN())))</f>
        <v>0</v>
      </c>
      <c r="CK24" s="18" cm="1">
        <f t="array" aca="1" ref="CK24" ca="1">SUM(INDIRECT(ADDRESS(income_min_row,COLUMN()) &amp;":"&amp; ADDRESS(income_max_row,COLUMN())))</f>
        <v>0</v>
      </c>
      <c r="CL24" s="18" cm="1">
        <f t="array" aca="1" ref="CL24" ca="1">SUM(INDIRECT(ADDRESS(income_min_row,COLUMN()) &amp;":"&amp; ADDRESS(income_max_row,COLUMN())))</f>
        <v>0</v>
      </c>
      <c r="CM24" s="18" cm="1">
        <f t="array" aca="1" ref="CM24" ca="1">SUM(INDIRECT(ADDRESS(income_min_row,COLUMN()) &amp;":"&amp; ADDRESS(income_max_row,COLUMN())))</f>
        <v>0</v>
      </c>
      <c r="CN24" s="18" cm="1">
        <f t="array" aca="1" ref="CN24" ca="1">SUM(INDIRECT(ADDRESS(income_min_row,COLUMN()) &amp;":"&amp; ADDRESS(income_max_row,COLUMN())))</f>
        <v>0</v>
      </c>
      <c r="CO24" s="18" cm="1">
        <f t="array" aca="1" ref="CO24" ca="1">SUM(INDIRECT(ADDRESS(income_min_row,COLUMN()) &amp;":"&amp; ADDRESS(income_max_row,COLUMN())))</f>
        <v>0</v>
      </c>
      <c r="CP24" s="18" cm="1">
        <f t="array" aca="1" ref="CP24" ca="1">SUM(INDIRECT(ADDRESS(income_min_row,COLUMN()) &amp;":"&amp; ADDRESS(income_max_row,COLUMN())))</f>
        <v>0</v>
      </c>
      <c r="CQ24" s="18" cm="1">
        <f t="array" aca="1" ref="CQ24" ca="1">SUM(INDIRECT(ADDRESS(income_min_row,COLUMN()) &amp;":"&amp; ADDRESS(income_max_row,COLUMN())))</f>
        <v>0</v>
      </c>
      <c r="CR24" s="18" cm="1">
        <f t="array" aca="1" ref="CR24" ca="1">SUM(INDIRECT(ADDRESS(income_min_row,COLUMN()) &amp;":"&amp; ADDRESS(income_max_row,COLUMN())))</f>
        <v>0</v>
      </c>
      <c r="CS24" s="18" cm="1">
        <f t="array" aca="1" ref="CS24" ca="1">SUM(INDIRECT(ADDRESS(income_min_row,COLUMN()) &amp;":"&amp; ADDRESS(income_max_row,COLUMN())))</f>
        <v>0</v>
      </c>
      <c r="CT24" s="18" cm="1">
        <f t="array" aca="1" ref="CT24" ca="1">SUM(INDIRECT(ADDRESS(income_min_row,COLUMN()) &amp;":"&amp; ADDRESS(income_max_row,COLUMN())))</f>
        <v>0</v>
      </c>
      <c r="CU24" s="18" cm="1">
        <f t="array" aca="1" ref="CU24" ca="1">SUM(INDIRECT(ADDRESS(income_min_row,COLUMN()) &amp;":"&amp; ADDRESS(income_max_row,COLUMN())))</f>
        <v>0</v>
      </c>
      <c r="CV24" s="18" cm="1">
        <f t="array" aca="1" ref="CV24" ca="1">SUM(INDIRECT(ADDRESS(income_min_row,COLUMN()) &amp;":"&amp; ADDRESS(income_max_row,COLUMN())))</f>
        <v>0</v>
      </c>
      <c r="CW24" s="18" cm="1">
        <f t="array" aca="1" ref="CW24" ca="1">SUM(INDIRECT(ADDRESS(income_min_row,COLUMN()) &amp;":"&amp; ADDRESS(income_max_row,COLUMN())))</f>
        <v>0</v>
      </c>
      <c r="CY24" s="18" cm="1">
        <f t="array" aca="1" ref="CY24" ca="1">SUM(INDIRECT(ADDRESS(income_min_row,COLUMN()) &amp;":"&amp; ADDRESS(income_max_row,COLUMN())))</f>
        <v>0</v>
      </c>
      <c r="CZ24" s="18" cm="1">
        <f t="array" aca="1" ref="CZ24" ca="1">SUM(INDIRECT(ADDRESS(income_min_row,COLUMN()) &amp;":"&amp; ADDRESS(income_max_row,COLUMN())))</f>
        <v>0</v>
      </c>
      <c r="DA24" s="18" cm="1">
        <f t="array" aca="1" ref="DA24" ca="1">SUM(INDIRECT(ADDRESS(income_min_row,COLUMN()) &amp;":"&amp; ADDRESS(income_max_row,COLUMN())))</f>
        <v>0</v>
      </c>
      <c r="DB24" s="18" cm="1">
        <f t="array" aca="1" ref="DB24" ca="1">SUM(INDIRECT(ADDRESS(income_min_row,COLUMN()) &amp;":"&amp; ADDRESS(income_max_row,COLUMN())))</f>
        <v>0</v>
      </c>
      <c r="DC24" s="18" cm="1">
        <f t="array" aca="1" ref="DC24" ca="1">SUM(INDIRECT(ADDRESS(income_min_row,COLUMN()) &amp;":"&amp; ADDRESS(income_max_row,COLUMN())))</f>
        <v>0</v>
      </c>
      <c r="DD24" s="18" cm="1">
        <f t="array" aca="1" ref="DD24" ca="1">SUM(INDIRECT(ADDRESS(income_min_row,COLUMN()) &amp;":"&amp; ADDRESS(income_max_row,COLUMN())))</f>
        <v>0</v>
      </c>
      <c r="DE24" s="18" cm="1">
        <f t="array" aca="1" ref="DE24" ca="1">SUM(INDIRECT(ADDRESS(income_min_row,COLUMN()) &amp;":"&amp; ADDRESS(income_max_row,COLUMN())))</f>
        <v>0</v>
      </c>
      <c r="DF24" s="18" cm="1">
        <f t="array" aca="1" ref="DF24" ca="1">SUM(INDIRECT(ADDRESS(income_min_row,COLUMN()) &amp;":"&amp; ADDRESS(income_max_row,COLUMN())))</f>
        <v>0</v>
      </c>
      <c r="DG24" s="18" cm="1">
        <f t="array" aca="1" ref="DG24" ca="1">SUM(INDIRECT(ADDRESS(income_min_row,COLUMN()) &amp;":"&amp; ADDRESS(income_max_row,COLUMN())))</f>
        <v>0</v>
      </c>
      <c r="DH24" s="18" cm="1">
        <f t="array" aca="1" ref="DH24" ca="1">SUM(INDIRECT(ADDRESS(income_min_row,COLUMN()) &amp;":"&amp; ADDRESS(income_max_row,COLUMN())))</f>
        <v>0</v>
      </c>
      <c r="DI24" s="18" cm="1">
        <f t="array" aca="1" ref="DI24" ca="1">SUM(INDIRECT(ADDRESS(income_min_row,COLUMN()) &amp;":"&amp; ADDRESS(income_max_row,COLUMN())))</f>
        <v>0</v>
      </c>
      <c r="DJ24" s="18" cm="1">
        <f t="array" aca="1" ref="DJ24" ca="1">SUM(INDIRECT(ADDRESS(income_min_row,COLUMN()) &amp;":"&amp; ADDRESS(income_max_row,COLUMN())))</f>
        <v>0</v>
      </c>
      <c r="DK24" s="18" cm="1">
        <f t="array" aca="1" ref="DK24" ca="1">SUM(INDIRECT(ADDRESS(income_min_row,COLUMN()) &amp;":"&amp; ADDRESS(income_max_row,COLUMN())))</f>
        <v>0</v>
      </c>
      <c r="DM24" s="18" cm="1">
        <f t="array" aca="1" ref="DM24" ca="1">SUM(INDIRECT(ADDRESS(income_min_row,COLUMN()) &amp;":"&amp; ADDRESS(income_max_row,COLUMN())))</f>
        <v>0</v>
      </c>
      <c r="DN24" s="18" cm="1">
        <f t="array" aca="1" ref="DN24" ca="1">SUM(INDIRECT(ADDRESS(income_min_row,COLUMN()) &amp;":"&amp; ADDRESS(income_max_row,COLUMN())))</f>
        <v>0</v>
      </c>
      <c r="DO24" s="18" cm="1">
        <f t="array" aca="1" ref="DO24" ca="1">SUM(INDIRECT(ADDRESS(income_min_row,COLUMN()) &amp;":"&amp; ADDRESS(income_max_row,COLUMN())))</f>
        <v>0</v>
      </c>
      <c r="DP24" s="18" cm="1">
        <f t="array" aca="1" ref="DP24" ca="1">SUM(INDIRECT(ADDRESS(income_min_row,COLUMN()) &amp;":"&amp; ADDRESS(income_max_row,COLUMN())))</f>
        <v>0</v>
      </c>
      <c r="DQ24" s="18" cm="1">
        <f t="array" aca="1" ref="DQ24" ca="1">SUM(INDIRECT(ADDRESS(income_min_row,COLUMN()) &amp;":"&amp; ADDRESS(income_max_row,COLUMN())))</f>
        <v>0</v>
      </c>
      <c r="DR24" s="18" cm="1">
        <f t="array" aca="1" ref="DR24" ca="1">SUM(INDIRECT(ADDRESS(income_min_row,COLUMN()) &amp;":"&amp; ADDRESS(income_max_row,COLUMN())))</f>
        <v>0</v>
      </c>
      <c r="DS24" s="18" cm="1">
        <f t="array" aca="1" ref="DS24" ca="1">SUM(INDIRECT(ADDRESS(income_min_row,COLUMN()) &amp;":"&amp; ADDRESS(income_max_row,COLUMN())))</f>
        <v>0</v>
      </c>
      <c r="DT24" s="18" cm="1">
        <f t="array" aca="1" ref="DT24" ca="1">SUM(INDIRECT(ADDRESS(income_min_row,COLUMN()) &amp;":"&amp; ADDRESS(income_max_row,COLUMN())))</f>
        <v>0</v>
      </c>
      <c r="DU24" s="18" cm="1">
        <f t="array" aca="1" ref="DU24" ca="1">SUM(INDIRECT(ADDRESS(income_min_row,COLUMN()) &amp;":"&amp; ADDRESS(income_max_row,COLUMN())))</f>
        <v>0</v>
      </c>
      <c r="DV24" s="18" cm="1">
        <f t="array" aca="1" ref="DV24" ca="1">SUM(INDIRECT(ADDRESS(income_min_row,COLUMN()) &amp;":"&amp; ADDRESS(income_max_row,COLUMN())))</f>
        <v>0</v>
      </c>
      <c r="DW24" s="18" cm="1">
        <f t="array" aca="1" ref="DW24" ca="1">SUM(INDIRECT(ADDRESS(income_min_row,COLUMN()) &amp;":"&amp; ADDRESS(income_max_row,COLUMN())))</f>
        <v>0</v>
      </c>
      <c r="DX24" s="18" cm="1">
        <f t="array" aca="1" ref="DX24" ca="1">SUM(INDIRECT(ADDRESS(income_min_row,COLUMN()) &amp;":"&amp; ADDRESS(income_max_row,COLUMN())))</f>
        <v>0</v>
      </c>
      <c r="DY24" s="18" cm="1">
        <f t="array" aca="1" ref="DY24" ca="1">SUM(INDIRECT(ADDRESS(income_min_row,COLUMN()) &amp;":"&amp; ADDRESS(income_max_row,COLUMN())))</f>
        <v>0</v>
      </c>
      <c r="EA24" s="18" cm="1">
        <f t="array" aca="1" ref="EA24" ca="1">SUM(INDIRECT(ADDRESS(income_min_row,COLUMN()) &amp;":"&amp; ADDRESS(income_max_row,COLUMN())))</f>
        <v>0</v>
      </c>
      <c r="EB24" s="18" cm="1">
        <f t="array" aca="1" ref="EB24" ca="1">SUM(INDIRECT(ADDRESS(income_min_row,COLUMN()) &amp;":"&amp; ADDRESS(income_max_row,COLUMN())))</f>
        <v>0</v>
      </c>
      <c r="EC24" s="18" cm="1">
        <f t="array" aca="1" ref="EC24" ca="1">SUM(INDIRECT(ADDRESS(income_min_row,COLUMN()) &amp;":"&amp; ADDRESS(income_max_row,COLUMN())))</f>
        <v>0</v>
      </c>
      <c r="ED24" s="18" cm="1">
        <f t="array" aca="1" ref="ED24" ca="1">SUM(INDIRECT(ADDRESS(income_min_row,COLUMN()) &amp;":"&amp; ADDRESS(income_max_row,COLUMN())))</f>
        <v>0</v>
      </c>
      <c r="EE24" s="18" cm="1">
        <f t="array" aca="1" ref="EE24" ca="1">SUM(INDIRECT(ADDRESS(income_min_row,COLUMN()) &amp;":"&amp; ADDRESS(income_max_row,COLUMN())))</f>
        <v>0</v>
      </c>
      <c r="EF24" s="18" cm="1">
        <f t="array" aca="1" ref="EF24" ca="1">SUM(INDIRECT(ADDRESS(income_min_row,COLUMN()) &amp;":"&amp; ADDRESS(income_max_row,COLUMN())))</f>
        <v>0</v>
      </c>
      <c r="EG24" s="18" cm="1">
        <f t="array" aca="1" ref="EG24" ca="1">SUM(INDIRECT(ADDRESS(income_min_row,COLUMN()) &amp;":"&amp; ADDRESS(income_max_row,COLUMN())))</f>
        <v>0</v>
      </c>
      <c r="EH24" s="18" cm="1">
        <f t="array" aca="1" ref="EH24" ca="1">SUM(INDIRECT(ADDRESS(income_min_row,COLUMN()) &amp;":"&amp; ADDRESS(income_max_row,COLUMN())))</f>
        <v>0</v>
      </c>
      <c r="EI24" s="18" cm="1">
        <f t="array" aca="1" ref="EI24" ca="1">SUM(INDIRECT(ADDRESS(income_min_row,COLUMN()) &amp;":"&amp; ADDRESS(income_max_row,COLUMN())))</f>
        <v>0</v>
      </c>
      <c r="EJ24" s="18" cm="1">
        <f t="array" aca="1" ref="EJ24" ca="1">SUM(INDIRECT(ADDRESS(income_min_row,COLUMN()) &amp;":"&amp; ADDRESS(income_max_row,COLUMN())))</f>
        <v>0</v>
      </c>
      <c r="EK24" s="18" cm="1">
        <f t="array" aca="1" ref="EK24" ca="1">SUM(INDIRECT(ADDRESS(income_min_row,COLUMN()) &amp;":"&amp; ADDRESS(income_max_row,COLUMN())))</f>
        <v>0</v>
      </c>
      <c r="EL24" s="18" cm="1">
        <f t="array" aca="1" ref="EL24" ca="1">SUM(INDIRECT(ADDRESS(income_min_row,COLUMN()) &amp;":"&amp; ADDRESS(income_max_row,COLUMN())))</f>
        <v>0</v>
      </c>
      <c r="EM24" s="18" cm="1">
        <f t="array" aca="1" ref="EM24" ca="1">SUM(INDIRECT(ADDRESS(income_min_row,COLUMN()) &amp;":"&amp; ADDRESS(income_max_row,COLUMN())))</f>
        <v>0</v>
      </c>
      <c r="EO24" s="18" cm="1">
        <f t="array" aca="1" ref="EO24" ca="1">SUM(INDIRECT(ADDRESS(income_min_row,COLUMN()) &amp;":"&amp; ADDRESS(income_max_row,COLUMN())))</f>
        <v>0</v>
      </c>
      <c r="EP24" s="18" cm="1">
        <f t="array" aca="1" ref="EP24" ca="1">SUM(INDIRECT(ADDRESS(income_min_row,COLUMN()) &amp;":"&amp; ADDRESS(income_max_row,COLUMN())))</f>
        <v>0</v>
      </c>
      <c r="EQ24" s="18" cm="1">
        <f t="array" aca="1" ref="EQ24" ca="1">SUM(INDIRECT(ADDRESS(income_min_row,COLUMN()) &amp;":"&amp; ADDRESS(income_max_row,COLUMN())))</f>
        <v>0</v>
      </c>
      <c r="ER24" s="18" cm="1">
        <f t="array" aca="1" ref="ER24" ca="1">SUM(INDIRECT(ADDRESS(income_min_row,COLUMN()) &amp;":"&amp; ADDRESS(income_max_row,COLUMN())))</f>
        <v>0</v>
      </c>
      <c r="ES24" s="18" cm="1">
        <f t="array" aca="1" ref="ES24" ca="1">SUM(INDIRECT(ADDRESS(income_min_row,COLUMN()) &amp;":"&amp; ADDRESS(income_max_row,COLUMN())))</f>
        <v>0</v>
      </c>
      <c r="ET24" s="18" cm="1">
        <f t="array" aca="1" ref="ET24" ca="1">SUM(INDIRECT(ADDRESS(income_min_row,COLUMN()) &amp;":"&amp; ADDRESS(income_max_row,COLUMN())))</f>
        <v>0</v>
      </c>
      <c r="EU24" s="18" cm="1">
        <f t="array" aca="1" ref="EU24" ca="1">SUM(INDIRECT(ADDRESS(income_min_row,COLUMN()) &amp;":"&amp; ADDRESS(income_max_row,COLUMN())))</f>
        <v>0</v>
      </c>
      <c r="EV24" s="18" cm="1">
        <f t="array" aca="1" ref="EV24" ca="1">SUM(INDIRECT(ADDRESS(income_min_row,COLUMN()) &amp;":"&amp; ADDRESS(income_max_row,COLUMN())))</f>
        <v>0</v>
      </c>
      <c r="EW24" s="18" cm="1">
        <f t="array" aca="1" ref="EW24" ca="1">SUM(INDIRECT(ADDRESS(income_min_row,COLUMN()) &amp;":"&amp; ADDRESS(income_max_row,COLUMN())))</f>
        <v>0</v>
      </c>
      <c r="EX24" s="18" cm="1">
        <f t="array" aca="1" ref="EX24" ca="1">SUM(INDIRECT(ADDRESS(income_min_row,COLUMN()) &amp;":"&amp; ADDRESS(income_max_row,COLUMN())))</f>
        <v>0</v>
      </c>
      <c r="EY24" s="18" cm="1">
        <f t="array" aca="1" ref="EY24" ca="1">SUM(INDIRECT(ADDRESS(income_min_row,COLUMN()) &amp;":"&amp; ADDRESS(income_max_row,COLUMN())))</f>
        <v>0</v>
      </c>
      <c r="EZ24" s="18" cm="1">
        <f t="array" aca="1" ref="EZ24" ca="1">SUM(INDIRECT(ADDRESS(income_min_row,COLUMN()) &amp;":"&amp; ADDRESS(income_max_row,COLUMN())))</f>
        <v>0</v>
      </c>
      <c r="FA24" s="18" cm="1">
        <f t="array" aca="1" ref="FA24" ca="1">SUM(INDIRECT(ADDRESS(income_min_row,COLUMN()) &amp;":"&amp; ADDRESS(income_max_row,COLUMN())))</f>
        <v>0</v>
      </c>
    </row>
    <row r="25" spans="3:157" x14ac:dyDescent="0.25">
      <c r="C25" s="1"/>
    </row>
    <row r="26" spans="3:157" x14ac:dyDescent="0.25">
      <c r="C26" s="12" t="s">
        <v>17</v>
      </c>
      <c r="E26" s="20">
        <f>DATE(E$5,1,1)</f>
        <v>46023</v>
      </c>
      <c r="F26" s="20">
        <f>DATE(E$5,2,1)</f>
        <v>46054</v>
      </c>
      <c r="G26" s="20">
        <f>DATE(E$5,3,1)</f>
        <v>46082</v>
      </c>
      <c r="H26" s="20">
        <f>DATE(E$5,4,1)</f>
        <v>46113</v>
      </c>
      <c r="I26" s="20">
        <f>DATE(E$5,5,1)</f>
        <v>46143</v>
      </c>
      <c r="J26" s="20">
        <f>DATE(E$5,6,1)</f>
        <v>46174</v>
      </c>
      <c r="K26" s="20">
        <f>DATE(E$5,7,1)</f>
        <v>46204</v>
      </c>
      <c r="L26" s="20">
        <f>DATE(E$5,8,1)</f>
        <v>46235</v>
      </c>
      <c r="M26" s="20">
        <f>DATE(E$5,9,1)</f>
        <v>46266</v>
      </c>
      <c r="N26" s="20">
        <f>DATE(E$5,10,1)</f>
        <v>46296</v>
      </c>
      <c r="O26" s="20">
        <f>DATE(E$5,11,1)</f>
        <v>46327</v>
      </c>
      <c r="P26" s="20">
        <f>DATE(E$5,12,1)</f>
        <v>46357</v>
      </c>
      <c r="Q26" s="21">
        <f>E$5</f>
        <v>2026</v>
      </c>
      <c r="S26" s="20">
        <f>DATE(S$5,1,1)</f>
        <v>46388</v>
      </c>
      <c r="T26" s="20">
        <f>DATE(S$5,2,1)</f>
        <v>46419</v>
      </c>
      <c r="U26" s="20">
        <f>DATE(S$5,3,1)</f>
        <v>46447</v>
      </c>
      <c r="V26" s="20">
        <f>DATE(S$5,4,1)</f>
        <v>46478</v>
      </c>
      <c r="W26" s="20">
        <f>DATE(S$5,5,1)</f>
        <v>46508</v>
      </c>
      <c r="X26" s="20">
        <f>DATE(S$5,6,1)</f>
        <v>46539</v>
      </c>
      <c r="Y26" s="20">
        <f>DATE(S$5,7,1)</f>
        <v>46569</v>
      </c>
      <c r="Z26" s="20">
        <f>DATE(S$5,8,1)</f>
        <v>46600</v>
      </c>
      <c r="AA26" s="20">
        <f>DATE(S$5,9,1)</f>
        <v>46631</v>
      </c>
      <c r="AB26" s="20">
        <f>DATE(S$5,10,1)</f>
        <v>46661</v>
      </c>
      <c r="AC26" s="20">
        <f>DATE(S$5,11,1)</f>
        <v>46692</v>
      </c>
      <c r="AD26" s="20">
        <f>DATE(S$5,12,1)</f>
        <v>46722</v>
      </c>
      <c r="AE26" s="21">
        <f>S$5</f>
        <v>2027</v>
      </c>
      <c r="AG26" s="20">
        <f>DATE(AG$5,1,1)</f>
        <v>46753</v>
      </c>
      <c r="AH26" s="20">
        <f>DATE(AG$5,2,1)</f>
        <v>46784</v>
      </c>
      <c r="AI26" s="20">
        <f>DATE(AG$5,3,1)</f>
        <v>46813</v>
      </c>
      <c r="AJ26" s="20">
        <f>DATE(AG$5,4,1)</f>
        <v>46844</v>
      </c>
      <c r="AK26" s="20">
        <f>DATE(AG$5,5,1)</f>
        <v>46874</v>
      </c>
      <c r="AL26" s="20">
        <f>DATE(AG$5,6,1)</f>
        <v>46905</v>
      </c>
      <c r="AM26" s="20">
        <f>DATE(AG$5,7,1)</f>
        <v>46935</v>
      </c>
      <c r="AN26" s="20">
        <f>DATE(AG$5,8,1)</f>
        <v>46966</v>
      </c>
      <c r="AO26" s="20">
        <f>DATE(AG$5,9,1)</f>
        <v>46997</v>
      </c>
      <c r="AP26" s="20">
        <f>DATE(AG$5,10,1)</f>
        <v>47027</v>
      </c>
      <c r="AQ26" s="20">
        <f>DATE(AG$5,11,1)</f>
        <v>47058</v>
      </c>
      <c r="AR26" s="20">
        <f>DATE(AG$5,12,1)</f>
        <v>47088</v>
      </c>
      <c r="AS26" s="21">
        <f>AG$5</f>
        <v>2028</v>
      </c>
      <c r="AU26" s="20">
        <f>DATE(AU$5,1,1)</f>
        <v>47119</v>
      </c>
      <c r="AV26" s="20">
        <f>DATE(AU$5,2,1)</f>
        <v>47150</v>
      </c>
      <c r="AW26" s="20">
        <f>DATE(AU$5,3,1)</f>
        <v>47178</v>
      </c>
      <c r="AX26" s="20">
        <f>DATE(AU$5,4,1)</f>
        <v>47209</v>
      </c>
      <c r="AY26" s="20">
        <f>DATE(AU$5,5,1)</f>
        <v>47239</v>
      </c>
      <c r="AZ26" s="20">
        <f>DATE(AU$5,6,1)</f>
        <v>47270</v>
      </c>
      <c r="BA26" s="20">
        <f>DATE(AU$5,7,1)</f>
        <v>47300</v>
      </c>
      <c r="BB26" s="20">
        <f>DATE(AU$5,8,1)</f>
        <v>47331</v>
      </c>
      <c r="BC26" s="20">
        <f>DATE(AU$5,9,1)</f>
        <v>47362</v>
      </c>
      <c r="BD26" s="20">
        <f>DATE(AU$5,10,1)</f>
        <v>47392</v>
      </c>
      <c r="BE26" s="20">
        <f>DATE(AU$5,11,1)</f>
        <v>47423</v>
      </c>
      <c r="BF26" s="20">
        <f>DATE(AU$5,12,1)</f>
        <v>47453</v>
      </c>
      <c r="BG26" s="21">
        <f>AU$5</f>
        <v>2029</v>
      </c>
      <c r="BI26" s="20">
        <f>DATE(BI$5,1,1)</f>
        <v>47484</v>
      </c>
      <c r="BJ26" s="20">
        <f>DATE(BI$5,2,1)</f>
        <v>47515</v>
      </c>
      <c r="BK26" s="20">
        <f>DATE(BI$5,3,1)</f>
        <v>47543</v>
      </c>
      <c r="BL26" s="20">
        <f>DATE(BI$5,4,1)</f>
        <v>47574</v>
      </c>
      <c r="BM26" s="20">
        <f>DATE(BI$5,5,1)</f>
        <v>47604</v>
      </c>
      <c r="BN26" s="20">
        <f>DATE(BI$5,6,1)</f>
        <v>47635</v>
      </c>
      <c r="BO26" s="20">
        <f>DATE(BI$5,7,1)</f>
        <v>47665</v>
      </c>
      <c r="BP26" s="20">
        <f>DATE(BI$5,8,1)</f>
        <v>47696</v>
      </c>
      <c r="BQ26" s="20">
        <f>DATE(BI$5,9,1)</f>
        <v>47727</v>
      </c>
      <c r="BR26" s="20">
        <f>DATE(BI$5,10,1)</f>
        <v>47757</v>
      </c>
      <c r="BS26" s="20">
        <f>DATE(BI$5,11,1)</f>
        <v>47788</v>
      </c>
      <c r="BT26" s="20">
        <f>DATE(BI$5,12,1)</f>
        <v>47818</v>
      </c>
      <c r="BU26" s="21">
        <f>BI$5</f>
        <v>2030</v>
      </c>
      <c r="BW26" s="20">
        <f>DATE(BW$5,1,1)</f>
        <v>47849</v>
      </c>
      <c r="BX26" s="20">
        <f>DATE(BW$5,2,1)</f>
        <v>47880</v>
      </c>
      <c r="BY26" s="20">
        <f>DATE(BW$5,3,1)</f>
        <v>47908</v>
      </c>
      <c r="BZ26" s="20">
        <f>DATE(BW$5,4,1)</f>
        <v>47939</v>
      </c>
      <c r="CA26" s="20">
        <f>DATE(BW$5,5,1)</f>
        <v>47969</v>
      </c>
      <c r="CB26" s="20">
        <f>DATE(BW$5,6,1)</f>
        <v>48000</v>
      </c>
      <c r="CC26" s="20">
        <f>DATE(BW$5,7,1)</f>
        <v>48030</v>
      </c>
      <c r="CD26" s="20">
        <f>DATE(BW$5,8,1)</f>
        <v>48061</v>
      </c>
      <c r="CE26" s="20">
        <f>DATE(BW$5,9,1)</f>
        <v>48092</v>
      </c>
      <c r="CF26" s="20">
        <f>DATE(BW$5,10,1)</f>
        <v>48122</v>
      </c>
      <c r="CG26" s="20">
        <f>DATE(BW$5,11,1)</f>
        <v>48153</v>
      </c>
      <c r="CH26" s="20">
        <f>DATE(BW$5,12,1)</f>
        <v>48183</v>
      </c>
      <c r="CI26" s="21">
        <f>BW$5</f>
        <v>2031</v>
      </c>
      <c r="CK26" s="20">
        <f>DATE(CK$5,1,1)</f>
        <v>48214</v>
      </c>
      <c r="CL26" s="20">
        <f>DATE(CK$5,2,1)</f>
        <v>48245</v>
      </c>
      <c r="CM26" s="20">
        <f>DATE(CK$5,3,1)</f>
        <v>48274</v>
      </c>
      <c r="CN26" s="20">
        <f>DATE(CK$5,4,1)</f>
        <v>48305</v>
      </c>
      <c r="CO26" s="20">
        <f>DATE(CK$5,5,1)</f>
        <v>48335</v>
      </c>
      <c r="CP26" s="20">
        <f>DATE(CK$5,6,1)</f>
        <v>48366</v>
      </c>
      <c r="CQ26" s="20">
        <f>DATE(CK$5,7,1)</f>
        <v>48396</v>
      </c>
      <c r="CR26" s="20">
        <f>DATE(CK$5,8,1)</f>
        <v>48427</v>
      </c>
      <c r="CS26" s="20">
        <f>DATE(CK$5,9,1)</f>
        <v>48458</v>
      </c>
      <c r="CT26" s="20">
        <f>DATE(CK$5,10,1)</f>
        <v>48488</v>
      </c>
      <c r="CU26" s="20">
        <f>DATE(CK$5,11,1)</f>
        <v>48519</v>
      </c>
      <c r="CV26" s="20">
        <f>DATE(CK$5,12,1)</f>
        <v>48549</v>
      </c>
      <c r="CW26" s="21">
        <f>CK$5</f>
        <v>2032</v>
      </c>
      <c r="CY26" s="20">
        <f>DATE(CY$5,1,1)</f>
        <v>48580</v>
      </c>
      <c r="CZ26" s="20">
        <f>DATE(CY$5,2,1)</f>
        <v>48611</v>
      </c>
      <c r="DA26" s="20">
        <f>DATE(CY$5,3,1)</f>
        <v>48639</v>
      </c>
      <c r="DB26" s="20">
        <f>DATE(CY$5,4,1)</f>
        <v>48670</v>
      </c>
      <c r="DC26" s="20">
        <f>DATE(CY$5,5,1)</f>
        <v>48700</v>
      </c>
      <c r="DD26" s="20">
        <f>DATE(CY$5,6,1)</f>
        <v>48731</v>
      </c>
      <c r="DE26" s="20">
        <f>DATE(CY$5,7,1)</f>
        <v>48761</v>
      </c>
      <c r="DF26" s="20">
        <f>DATE(CY$5,8,1)</f>
        <v>48792</v>
      </c>
      <c r="DG26" s="20">
        <f>DATE(CY$5,9,1)</f>
        <v>48823</v>
      </c>
      <c r="DH26" s="20">
        <f>DATE(CY$5,10,1)</f>
        <v>48853</v>
      </c>
      <c r="DI26" s="20">
        <f>DATE(CY$5,11,1)</f>
        <v>48884</v>
      </c>
      <c r="DJ26" s="20">
        <f>DATE(CY$5,12,1)</f>
        <v>48914</v>
      </c>
      <c r="DK26" s="21">
        <f>CY$5</f>
        <v>2033</v>
      </c>
      <c r="DM26" s="20">
        <f>DATE(DM$5,1,1)</f>
        <v>48945</v>
      </c>
      <c r="DN26" s="20">
        <f>DATE(DM$5,2,1)</f>
        <v>48976</v>
      </c>
      <c r="DO26" s="20">
        <f>DATE(DM$5,3,1)</f>
        <v>49004</v>
      </c>
      <c r="DP26" s="20">
        <f>DATE(DM$5,4,1)</f>
        <v>49035</v>
      </c>
      <c r="DQ26" s="20">
        <f>DATE(DM$5,5,1)</f>
        <v>49065</v>
      </c>
      <c r="DR26" s="20">
        <f>DATE(DM$5,6,1)</f>
        <v>49096</v>
      </c>
      <c r="DS26" s="20">
        <f>DATE(DM$5,7,1)</f>
        <v>49126</v>
      </c>
      <c r="DT26" s="20">
        <f>DATE(DM$5,8,1)</f>
        <v>49157</v>
      </c>
      <c r="DU26" s="20">
        <f>DATE(DM$5,9,1)</f>
        <v>49188</v>
      </c>
      <c r="DV26" s="20">
        <f>DATE(DM$5,10,1)</f>
        <v>49218</v>
      </c>
      <c r="DW26" s="20">
        <f>DATE(DM$5,11,1)</f>
        <v>49249</v>
      </c>
      <c r="DX26" s="20">
        <f>DATE(DM$5,12,1)</f>
        <v>49279</v>
      </c>
      <c r="DY26" s="21">
        <f>DM$5</f>
        <v>2034</v>
      </c>
      <c r="EA26" s="20">
        <f>DATE(EA$5,1,1)</f>
        <v>49310</v>
      </c>
      <c r="EB26" s="20">
        <f>DATE(EA$5,2,1)</f>
        <v>49341</v>
      </c>
      <c r="EC26" s="20">
        <f>DATE(EA$5,3,1)</f>
        <v>49369</v>
      </c>
      <c r="ED26" s="20">
        <f>DATE(EA$5,4,1)</f>
        <v>49400</v>
      </c>
      <c r="EE26" s="20">
        <f>DATE(EA$5,5,1)</f>
        <v>49430</v>
      </c>
      <c r="EF26" s="20">
        <f>DATE(EA$5,6,1)</f>
        <v>49461</v>
      </c>
      <c r="EG26" s="20">
        <f>DATE(EA$5,7,1)</f>
        <v>49491</v>
      </c>
      <c r="EH26" s="20">
        <f>DATE(EA$5,8,1)</f>
        <v>49522</v>
      </c>
      <c r="EI26" s="20">
        <f>DATE(EA$5,9,1)</f>
        <v>49553</v>
      </c>
      <c r="EJ26" s="20">
        <f>DATE(EA$5,10,1)</f>
        <v>49583</v>
      </c>
      <c r="EK26" s="20">
        <f>DATE(EA$5,11,1)</f>
        <v>49614</v>
      </c>
      <c r="EL26" s="20">
        <f>DATE(EA$5,12,1)</f>
        <v>49644</v>
      </c>
      <c r="EM26" s="21">
        <f>EA$5</f>
        <v>2035</v>
      </c>
      <c r="EO26" s="20">
        <f>DATE(EO$5,1,1)</f>
        <v>49675</v>
      </c>
      <c r="EP26" s="20">
        <f>DATE(EO$5,2,1)</f>
        <v>49706</v>
      </c>
      <c r="EQ26" s="20">
        <f>DATE(EO$5,3,1)</f>
        <v>49735</v>
      </c>
      <c r="ER26" s="20">
        <f>DATE(EO$5,4,1)</f>
        <v>49766</v>
      </c>
      <c r="ES26" s="20">
        <f>DATE(EO$5,5,1)</f>
        <v>49796</v>
      </c>
      <c r="ET26" s="20">
        <f>DATE(EO$5,6,1)</f>
        <v>49827</v>
      </c>
      <c r="EU26" s="20">
        <f>DATE(EO$5,7,1)</f>
        <v>49857</v>
      </c>
      <c r="EV26" s="20">
        <f>DATE(EO$5,8,1)</f>
        <v>49888</v>
      </c>
      <c r="EW26" s="20">
        <f>DATE(EO$5,9,1)</f>
        <v>49919</v>
      </c>
      <c r="EX26" s="20">
        <f>DATE(EO$5,10,1)</f>
        <v>49949</v>
      </c>
      <c r="EY26" s="20">
        <f>DATE(EO$5,11,1)</f>
        <v>49980</v>
      </c>
      <c r="EZ26" s="20">
        <f>DATE(EO$5,12,1)</f>
        <v>50010</v>
      </c>
      <c r="FA26" s="21">
        <f>EO$5</f>
        <v>2036</v>
      </c>
    </row>
    <row r="27" spans="3:157" x14ac:dyDescent="0.25">
      <c r="C27" s="16" t="s">
        <v>13</v>
      </c>
      <c r="E27" s="17">
        <v>8500</v>
      </c>
      <c r="F27" s="17">
        <v>8500</v>
      </c>
      <c r="G27" s="17">
        <v>8500</v>
      </c>
      <c r="H27" s="17">
        <v>22000</v>
      </c>
      <c r="I27" s="17">
        <v>22000</v>
      </c>
      <c r="J27" s="17">
        <v>22000</v>
      </c>
      <c r="K27" s="17">
        <v>22000</v>
      </c>
      <c r="L27" s="17">
        <v>22000</v>
      </c>
      <c r="M27" s="17">
        <v>22000</v>
      </c>
      <c r="N27" s="17">
        <v>22000</v>
      </c>
      <c r="O27" s="17">
        <v>22000</v>
      </c>
      <c r="P27" s="17">
        <v>22000</v>
      </c>
      <c r="Q27" s="19">
        <f>SUM(E27:P27)</f>
        <v>223500</v>
      </c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9">
        <f>SUM(S27:AD27)</f>
        <v>0</v>
      </c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9">
        <f>SUM(AG27:AR27)</f>
        <v>0</v>
      </c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9">
        <f>SUM(AU27:BF27)</f>
        <v>0</v>
      </c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9">
        <f>SUM(BI27:BT27)</f>
        <v>0</v>
      </c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9">
        <f>SUM(BW27:CH27)</f>
        <v>0</v>
      </c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9">
        <f>SUM(CK27:CV27)</f>
        <v>0</v>
      </c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9">
        <f>SUM(CY27:DJ27)</f>
        <v>0</v>
      </c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9">
        <f>SUM(DM27:DX27)</f>
        <v>0</v>
      </c>
      <c r="EA27" s="17"/>
      <c r="EB27" s="17"/>
      <c r="EC27" s="17"/>
      <c r="ED27" s="17"/>
      <c r="EE27" s="17"/>
      <c r="EF27" s="17"/>
      <c r="EG27" s="17"/>
      <c r="EH27" s="17"/>
      <c r="EI27" s="17"/>
      <c r="EJ27" s="17"/>
      <c r="EK27" s="17"/>
      <c r="EL27" s="17"/>
      <c r="EM27" s="19">
        <f>SUM(EA27:EL27)</f>
        <v>0</v>
      </c>
      <c r="EO27" s="17"/>
      <c r="EP27" s="17"/>
      <c r="EQ27" s="17"/>
      <c r="ER27" s="17"/>
      <c r="ES27" s="17"/>
      <c r="ET27" s="17"/>
      <c r="EU27" s="17"/>
      <c r="EV27" s="17"/>
      <c r="EW27" s="17"/>
      <c r="EX27" s="17"/>
      <c r="EY27" s="17"/>
      <c r="EZ27" s="17"/>
      <c r="FA27" s="19">
        <f>SUM(EO27:EZ27)</f>
        <v>0</v>
      </c>
    </row>
    <row r="28" spans="3:157" x14ac:dyDescent="0.25">
      <c r="C28" s="16" t="s">
        <v>14</v>
      </c>
      <c r="E28" s="17">
        <v>1500</v>
      </c>
      <c r="F28" s="17">
        <v>1500</v>
      </c>
      <c r="G28" s="17">
        <v>1500</v>
      </c>
      <c r="H28" s="17">
        <v>3500</v>
      </c>
      <c r="I28" s="17">
        <v>3500</v>
      </c>
      <c r="J28" s="17">
        <v>3500</v>
      </c>
      <c r="K28" s="17">
        <v>3500</v>
      </c>
      <c r="L28" s="17">
        <v>3500</v>
      </c>
      <c r="M28" s="17">
        <v>3500</v>
      </c>
      <c r="N28" s="17">
        <v>3500</v>
      </c>
      <c r="O28" s="17">
        <v>3500</v>
      </c>
      <c r="P28" s="17">
        <v>3500</v>
      </c>
      <c r="Q28" s="19">
        <f t="shared" ref="Q28:Q40" si="22">SUM(E28:P28)</f>
        <v>36000</v>
      </c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9">
        <f t="shared" ref="AE28:AE40" si="23">SUM(S28:AD28)</f>
        <v>0</v>
      </c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9">
        <f t="shared" ref="AS28:AS40" si="24">SUM(AG28:AR28)</f>
        <v>0</v>
      </c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9">
        <f t="shared" ref="BG28:BG40" si="25">SUM(AU28:BF28)</f>
        <v>0</v>
      </c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9">
        <f t="shared" ref="BU28:BU40" si="26">SUM(BI28:BT28)</f>
        <v>0</v>
      </c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9">
        <f t="shared" ref="CI28:CI40" si="27">SUM(BW28:CH28)</f>
        <v>0</v>
      </c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9">
        <f t="shared" ref="CW28:CW40" si="28">SUM(CK28:CV28)</f>
        <v>0</v>
      </c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9">
        <f t="shared" ref="DK28:DK40" si="29">SUM(CY28:DJ28)</f>
        <v>0</v>
      </c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9">
        <f t="shared" ref="DY28:DY40" si="30">SUM(DM28:DX28)</f>
        <v>0</v>
      </c>
      <c r="EA28" s="17"/>
      <c r="EB28" s="17"/>
      <c r="EC28" s="17"/>
      <c r="ED28" s="17"/>
      <c r="EE28" s="17"/>
      <c r="EF28" s="17"/>
      <c r="EG28" s="17"/>
      <c r="EH28" s="17"/>
      <c r="EI28" s="17"/>
      <c r="EJ28" s="17"/>
      <c r="EK28" s="17"/>
      <c r="EL28" s="17"/>
      <c r="EM28" s="19">
        <f t="shared" ref="EM28:EM40" si="31">SUM(EA28:EL28)</f>
        <v>0</v>
      </c>
      <c r="EO28" s="17"/>
      <c r="EP28" s="17"/>
      <c r="EQ28" s="17"/>
      <c r="ER28" s="17"/>
      <c r="ES28" s="17"/>
      <c r="ET28" s="17"/>
      <c r="EU28" s="17"/>
      <c r="EV28" s="17"/>
      <c r="EW28" s="17"/>
      <c r="EX28" s="17"/>
      <c r="EY28" s="17"/>
      <c r="EZ28" s="17"/>
      <c r="FA28" s="19">
        <f t="shared" ref="FA28:FA40" si="32">SUM(EO28:EZ28)</f>
        <v>0</v>
      </c>
    </row>
    <row r="29" spans="3:157" x14ac:dyDescent="0.25">
      <c r="C29" s="16" t="s">
        <v>15</v>
      </c>
      <c r="E29" s="17">
        <v>15568</v>
      </c>
      <c r="F29" s="17">
        <v>15568</v>
      </c>
      <c r="G29" s="17">
        <v>15568</v>
      </c>
      <c r="H29" s="17">
        <v>15568</v>
      </c>
      <c r="I29" s="17">
        <v>15568</v>
      </c>
      <c r="J29" s="17">
        <v>15568</v>
      </c>
      <c r="K29" s="17">
        <v>15568</v>
      </c>
      <c r="L29" s="17">
        <v>15568</v>
      </c>
      <c r="M29" s="17">
        <v>15568</v>
      </c>
      <c r="N29" s="17">
        <v>15568</v>
      </c>
      <c r="O29" s="17">
        <v>15568</v>
      </c>
      <c r="P29" s="17">
        <v>15568</v>
      </c>
      <c r="Q29" s="19">
        <f t="shared" si="22"/>
        <v>186816</v>
      </c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9">
        <f t="shared" si="23"/>
        <v>0</v>
      </c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9">
        <f t="shared" si="24"/>
        <v>0</v>
      </c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9">
        <f t="shared" si="25"/>
        <v>0</v>
      </c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9">
        <f t="shared" si="26"/>
        <v>0</v>
      </c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9">
        <f t="shared" si="27"/>
        <v>0</v>
      </c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9">
        <f t="shared" si="28"/>
        <v>0</v>
      </c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9">
        <f t="shared" si="29"/>
        <v>0</v>
      </c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9">
        <f t="shared" si="30"/>
        <v>0</v>
      </c>
      <c r="EA29" s="17"/>
      <c r="EB29" s="17"/>
      <c r="EC29" s="17"/>
      <c r="ED29" s="17"/>
      <c r="EE29" s="17"/>
      <c r="EF29" s="17"/>
      <c r="EG29" s="17"/>
      <c r="EH29" s="17"/>
      <c r="EI29" s="17"/>
      <c r="EJ29" s="17"/>
      <c r="EK29" s="17"/>
      <c r="EL29" s="17"/>
      <c r="EM29" s="19">
        <f t="shared" si="31"/>
        <v>0</v>
      </c>
      <c r="EO29" s="17"/>
      <c r="EP29" s="17"/>
      <c r="EQ29" s="17"/>
      <c r="ER29" s="17"/>
      <c r="ES29" s="17"/>
      <c r="ET29" s="17"/>
      <c r="EU29" s="17"/>
      <c r="EV29" s="17"/>
      <c r="EW29" s="17"/>
      <c r="EX29" s="17"/>
      <c r="EY29" s="17"/>
      <c r="EZ29" s="17"/>
      <c r="FA29" s="19">
        <f t="shared" si="32"/>
        <v>0</v>
      </c>
    </row>
    <row r="30" spans="3:157" x14ac:dyDescent="0.25">
      <c r="C30" s="16" t="s">
        <v>31</v>
      </c>
      <c r="E30" s="17">
        <v>1000</v>
      </c>
      <c r="F30" s="17">
        <v>1000</v>
      </c>
      <c r="G30" s="17">
        <v>1000</v>
      </c>
      <c r="H30" s="17">
        <v>1000</v>
      </c>
      <c r="I30" s="17">
        <v>1000</v>
      </c>
      <c r="J30" s="17">
        <v>1000</v>
      </c>
      <c r="K30" s="17">
        <v>1000</v>
      </c>
      <c r="L30" s="17">
        <v>1000</v>
      </c>
      <c r="M30" s="17">
        <v>1000</v>
      </c>
      <c r="N30" s="17">
        <v>1000</v>
      </c>
      <c r="O30" s="17">
        <v>1000</v>
      </c>
      <c r="P30" s="17">
        <v>1000</v>
      </c>
      <c r="Q30" s="19">
        <f t="shared" si="22"/>
        <v>12000</v>
      </c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9">
        <f t="shared" si="23"/>
        <v>0</v>
      </c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9">
        <f t="shared" si="24"/>
        <v>0</v>
      </c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9">
        <f t="shared" si="25"/>
        <v>0</v>
      </c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9">
        <f t="shared" si="26"/>
        <v>0</v>
      </c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9">
        <f t="shared" si="27"/>
        <v>0</v>
      </c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9">
        <f t="shared" si="28"/>
        <v>0</v>
      </c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9">
        <f t="shared" si="29"/>
        <v>0</v>
      </c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9">
        <f t="shared" si="30"/>
        <v>0</v>
      </c>
      <c r="EA30" s="17"/>
      <c r="EB30" s="17"/>
      <c r="EC30" s="17"/>
      <c r="ED30" s="17"/>
      <c r="EE30" s="17"/>
      <c r="EF30" s="17"/>
      <c r="EG30" s="17"/>
      <c r="EH30" s="17"/>
      <c r="EI30" s="17"/>
      <c r="EJ30" s="17"/>
      <c r="EK30" s="17"/>
      <c r="EL30" s="17"/>
      <c r="EM30" s="19">
        <f t="shared" si="31"/>
        <v>0</v>
      </c>
      <c r="EO30" s="17"/>
      <c r="EP30" s="17"/>
      <c r="EQ30" s="17"/>
      <c r="ER30" s="17"/>
      <c r="ES30" s="17"/>
      <c r="ET30" s="17"/>
      <c r="EU30" s="17"/>
      <c r="EV30" s="17"/>
      <c r="EW30" s="17"/>
      <c r="EX30" s="17"/>
      <c r="EY30" s="17"/>
      <c r="EZ30" s="17"/>
      <c r="FA30" s="19">
        <f t="shared" si="32"/>
        <v>0</v>
      </c>
    </row>
    <row r="31" spans="3:157" x14ac:dyDescent="0.25">
      <c r="C31" s="16" t="s">
        <v>26</v>
      </c>
      <c r="E31" s="17">
        <v>1050</v>
      </c>
      <c r="F31" s="17">
        <v>1050</v>
      </c>
      <c r="G31" s="17">
        <v>1050</v>
      </c>
      <c r="H31" s="17">
        <v>1050</v>
      </c>
      <c r="I31" s="17">
        <v>1050</v>
      </c>
      <c r="J31" s="17">
        <v>1050</v>
      </c>
      <c r="K31" s="17">
        <v>1050</v>
      </c>
      <c r="L31" s="17">
        <v>1050</v>
      </c>
      <c r="M31" s="17">
        <v>1050</v>
      </c>
      <c r="N31" s="17">
        <v>1050</v>
      </c>
      <c r="O31" s="17">
        <v>1050</v>
      </c>
      <c r="P31" s="17">
        <v>1050</v>
      </c>
      <c r="Q31" s="19">
        <f t="shared" si="22"/>
        <v>12600</v>
      </c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9">
        <f t="shared" si="23"/>
        <v>0</v>
      </c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9">
        <f t="shared" si="24"/>
        <v>0</v>
      </c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9">
        <f t="shared" si="25"/>
        <v>0</v>
      </c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9">
        <f t="shared" si="26"/>
        <v>0</v>
      </c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9">
        <f t="shared" si="27"/>
        <v>0</v>
      </c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9">
        <f t="shared" si="28"/>
        <v>0</v>
      </c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9">
        <f t="shared" si="29"/>
        <v>0</v>
      </c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9">
        <f t="shared" si="30"/>
        <v>0</v>
      </c>
      <c r="EA31" s="17"/>
      <c r="EB31" s="17"/>
      <c r="EC31" s="17"/>
      <c r="ED31" s="17"/>
      <c r="EE31" s="17"/>
      <c r="EF31" s="17"/>
      <c r="EG31" s="17"/>
      <c r="EH31" s="17"/>
      <c r="EI31" s="17"/>
      <c r="EJ31" s="17"/>
      <c r="EK31" s="17"/>
      <c r="EL31" s="17"/>
      <c r="EM31" s="19">
        <f t="shared" si="31"/>
        <v>0</v>
      </c>
      <c r="EO31" s="17"/>
      <c r="EP31" s="17"/>
      <c r="EQ31" s="17"/>
      <c r="ER31" s="17"/>
      <c r="ES31" s="17"/>
      <c r="ET31" s="17"/>
      <c r="EU31" s="17"/>
      <c r="EV31" s="17"/>
      <c r="EW31" s="17"/>
      <c r="EX31" s="17"/>
      <c r="EY31" s="17"/>
      <c r="EZ31" s="17"/>
      <c r="FA31" s="19">
        <f t="shared" si="32"/>
        <v>0</v>
      </c>
    </row>
    <row r="32" spans="3:157" x14ac:dyDescent="0.25">
      <c r="C32" s="16" t="s">
        <v>27</v>
      </c>
      <c r="E32" s="17">
        <v>0</v>
      </c>
      <c r="F32" s="17">
        <v>0</v>
      </c>
      <c r="G32" s="17">
        <v>0</v>
      </c>
      <c r="H32" s="17">
        <v>0</v>
      </c>
      <c r="I32" s="17">
        <v>3500</v>
      </c>
      <c r="J32" s="17">
        <v>0</v>
      </c>
      <c r="K32" s="17">
        <v>0</v>
      </c>
      <c r="L32" s="17">
        <v>0</v>
      </c>
      <c r="M32" s="17">
        <v>5500</v>
      </c>
      <c r="N32" s="17">
        <v>0</v>
      </c>
      <c r="O32" s="17">
        <v>0</v>
      </c>
      <c r="P32" s="17">
        <v>7000</v>
      </c>
      <c r="Q32" s="19">
        <f t="shared" si="22"/>
        <v>16000</v>
      </c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9">
        <f t="shared" si="23"/>
        <v>0</v>
      </c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9">
        <f t="shared" si="24"/>
        <v>0</v>
      </c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9">
        <f t="shared" si="25"/>
        <v>0</v>
      </c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9">
        <f t="shared" si="26"/>
        <v>0</v>
      </c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9">
        <f t="shared" si="27"/>
        <v>0</v>
      </c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9">
        <f t="shared" si="28"/>
        <v>0</v>
      </c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9">
        <f t="shared" si="29"/>
        <v>0</v>
      </c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9">
        <f t="shared" si="30"/>
        <v>0</v>
      </c>
      <c r="EA32" s="17"/>
      <c r="EB32" s="17"/>
      <c r="EC32" s="17"/>
      <c r="ED32" s="17"/>
      <c r="EE32" s="17"/>
      <c r="EF32" s="17"/>
      <c r="EG32" s="17"/>
      <c r="EH32" s="17"/>
      <c r="EI32" s="17"/>
      <c r="EJ32" s="17"/>
      <c r="EK32" s="17"/>
      <c r="EL32" s="17"/>
      <c r="EM32" s="19">
        <f t="shared" si="31"/>
        <v>0</v>
      </c>
      <c r="EO32" s="17"/>
      <c r="EP32" s="17"/>
      <c r="EQ32" s="17"/>
      <c r="ER32" s="17"/>
      <c r="ES32" s="17"/>
      <c r="ET32" s="17"/>
      <c r="EU32" s="17"/>
      <c r="EV32" s="17"/>
      <c r="EW32" s="17"/>
      <c r="EX32" s="17"/>
      <c r="EY32" s="17"/>
      <c r="EZ32" s="17"/>
      <c r="FA32" s="19">
        <f t="shared" si="32"/>
        <v>0</v>
      </c>
    </row>
    <row r="33" spans="3:157" x14ac:dyDescent="0.25">
      <c r="C33" s="16" t="s">
        <v>28</v>
      </c>
      <c r="E33" s="17">
        <v>500</v>
      </c>
      <c r="F33" s="17">
        <v>500</v>
      </c>
      <c r="G33" s="17">
        <v>500</v>
      </c>
      <c r="H33" s="17">
        <v>500</v>
      </c>
      <c r="I33" s="17">
        <v>500</v>
      </c>
      <c r="J33" s="17">
        <v>500</v>
      </c>
      <c r="K33" s="17">
        <v>500</v>
      </c>
      <c r="L33" s="17">
        <v>500</v>
      </c>
      <c r="M33" s="17">
        <v>500</v>
      </c>
      <c r="N33" s="17">
        <v>500</v>
      </c>
      <c r="O33" s="17">
        <v>500</v>
      </c>
      <c r="P33" s="17">
        <v>500</v>
      </c>
      <c r="Q33" s="19">
        <f t="shared" si="22"/>
        <v>6000</v>
      </c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9">
        <f t="shared" si="23"/>
        <v>0</v>
      </c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9">
        <f t="shared" si="24"/>
        <v>0</v>
      </c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9">
        <f t="shared" si="25"/>
        <v>0</v>
      </c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9">
        <f t="shared" si="26"/>
        <v>0</v>
      </c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9">
        <f t="shared" si="27"/>
        <v>0</v>
      </c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9">
        <f t="shared" si="28"/>
        <v>0</v>
      </c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9">
        <f t="shared" si="29"/>
        <v>0</v>
      </c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9">
        <f t="shared" si="30"/>
        <v>0</v>
      </c>
      <c r="EA33" s="17"/>
      <c r="EB33" s="17"/>
      <c r="EC33" s="17"/>
      <c r="ED33" s="17"/>
      <c r="EE33" s="17"/>
      <c r="EF33" s="17"/>
      <c r="EG33" s="17"/>
      <c r="EH33" s="17"/>
      <c r="EI33" s="17"/>
      <c r="EJ33" s="17"/>
      <c r="EK33" s="17"/>
      <c r="EL33" s="17"/>
      <c r="EM33" s="19">
        <f t="shared" si="31"/>
        <v>0</v>
      </c>
      <c r="EO33" s="17"/>
      <c r="EP33" s="17"/>
      <c r="EQ33" s="17"/>
      <c r="ER33" s="17"/>
      <c r="ES33" s="17"/>
      <c r="ET33" s="17"/>
      <c r="EU33" s="17"/>
      <c r="EV33" s="17"/>
      <c r="EW33" s="17"/>
      <c r="EX33" s="17"/>
      <c r="EY33" s="17"/>
      <c r="EZ33" s="17"/>
      <c r="FA33" s="19">
        <f t="shared" si="32"/>
        <v>0</v>
      </c>
    </row>
    <row r="34" spans="3:157" x14ac:dyDescent="0.25">
      <c r="C34" s="16" t="s">
        <v>29</v>
      </c>
      <c r="E34" s="17">
        <v>300</v>
      </c>
      <c r="F34" s="17">
        <v>300</v>
      </c>
      <c r="G34" s="17">
        <v>300</v>
      </c>
      <c r="H34" s="17">
        <v>300</v>
      </c>
      <c r="I34" s="17">
        <v>300</v>
      </c>
      <c r="J34" s="17">
        <v>300</v>
      </c>
      <c r="K34" s="17">
        <v>300</v>
      </c>
      <c r="L34" s="17">
        <v>300</v>
      </c>
      <c r="M34" s="17">
        <v>300</v>
      </c>
      <c r="N34" s="17">
        <v>300</v>
      </c>
      <c r="O34" s="17">
        <v>300</v>
      </c>
      <c r="P34" s="17">
        <v>300</v>
      </c>
      <c r="Q34" s="19">
        <f t="shared" si="22"/>
        <v>3600</v>
      </c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9">
        <f t="shared" si="23"/>
        <v>0</v>
      </c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9">
        <f t="shared" si="24"/>
        <v>0</v>
      </c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9">
        <f t="shared" si="25"/>
        <v>0</v>
      </c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9">
        <f t="shared" si="26"/>
        <v>0</v>
      </c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9">
        <f t="shared" si="27"/>
        <v>0</v>
      </c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9">
        <f t="shared" si="28"/>
        <v>0</v>
      </c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9">
        <f t="shared" si="29"/>
        <v>0</v>
      </c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9">
        <f t="shared" si="30"/>
        <v>0</v>
      </c>
      <c r="EA34" s="17"/>
      <c r="EB34" s="17"/>
      <c r="EC34" s="17"/>
      <c r="ED34" s="17"/>
      <c r="EE34" s="17"/>
      <c r="EF34" s="17"/>
      <c r="EG34" s="17"/>
      <c r="EH34" s="17"/>
      <c r="EI34" s="17"/>
      <c r="EJ34" s="17"/>
      <c r="EK34" s="17"/>
      <c r="EL34" s="17"/>
      <c r="EM34" s="19">
        <f t="shared" si="31"/>
        <v>0</v>
      </c>
      <c r="EO34" s="17"/>
      <c r="EP34" s="17"/>
      <c r="EQ34" s="17"/>
      <c r="ER34" s="17"/>
      <c r="ES34" s="17"/>
      <c r="ET34" s="17"/>
      <c r="EU34" s="17"/>
      <c r="EV34" s="17"/>
      <c r="EW34" s="17"/>
      <c r="EX34" s="17"/>
      <c r="EY34" s="17"/>
      <c r="EZ34" s="17"/>
      <c r="FA34" s="19">
        <f t="shared" si="32"/>
        <v>0</v>
      </c>
    </row>
    <row r="35" spans="3:157" x14ac:dyDescent="0.25">
      <c r="C35" s="16" t="s">
        <v>30</v>
      </c>
      <c r="E35" s="17">
        <v>500</v>
      </c>
      <c r="F35" s="17">
        <v>1500</v>
      </c>
      <c r="G35" s="17">
        <v>1000</v>
      </c>
      <c r="H35" s="17">
        <v>2500</v>
      </c>
      <c r="I35" s="17">
        <v>3000</v>
      </c>
      <c r="J35" s="17">
        <v>5000</v>
      </c>
      <c r="K35" s="17">
        <v>5500</v>
      </c>
      <c r="L35" s="17">
        <v>3000</v>
      </c>
      <c r="M35" s="17">
        <v>4000</v>
      </c>
      <c r="N35" s="17">
        <v>2500</v>
      </c>
      <c r="O35" s="17">
        <v>2000</v>
      </c>
      <c r="P35" s="17">
        <v>3800</v>
      </c>
      <c r="Q35" s="19">
        <f t="shared" si="22"/>
        <v>34300</v>
      </c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9">
        <f t="shared" si="23"/>
        <v>0</v>
      </c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9">
        <f t="shared" si="24"/>
        <v>0</v>
      </c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9">
        <f t="shared" si="25"/>
        <v>0</v>
      </c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9">
        <f t="shared" si="26"/>
        <v>0</v>
      </c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9">
        <f t="shared" si="27"/>
        <v>0</v>
      </c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9">
        <f t="shared" si="28"/>
        <v>0</v>
      </c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9">
        <f t="shared" si="29"/>
        <v>0</v>
      </c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9">
        <f t="shared" si="30"/>
        <v>0</v>
      </c>
      <c r="EA35" s="17"/>
      <c r="EB35" s="17"/>
      <c r="EC35" s="17"/>
      <c r="ED35" s="17"/>
      <c r="EE35" s="17"/>
      <c r="EF35" s="17"/>
      <c r="EG35" s="17"/>
      <c r="EH35" s="17"/>
      <c r="EI35" s="17"/>
      <c r="EJ35" s="17"/>
      <c r="EK35" s="17"/>
      <c r="EL35" s="17"/>
      <c r="EM35" s="19">
        <f t="shared" si="31"/>
        <v>0</v>
      </c>
      <c r="EO35" s="17"/>
      <c r="EP35" s="17"/>
      <c r="EQ35" s="17"/>
      <c r="ER35" s="17"/>
      <c r="ES35" s="17"/>
      <c r="ET35" s="17"/>
      <c r="EU35" s="17"/>
      <c r="EV35" s="17"/>
      <c r="EW35" s="17"/>
      <c r="EX35" s="17"/>
      <c r="EY35" s="17"/>
      <c r="EZ35" s="17"/>
      <c r="FA35" s="19">
        <f t="shared" si="32"/>
        <v>0</v>
      </c>
    </row>
    <row r="36" spans="3:157" hidden="1" x14ac:dyDescent="0.25">
      <c r="C36" s="16" t="s">
        <v>16</v>
      </c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9">
        <f t="shared" si="22"/>
        <v>0</v>
      </c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9">
        <f t="shared" si="23"/>
        <v>0</v>
      </c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9">
        <f t="shared" si="24"/>
        <v>0</v>
      </c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9">
        <f t="shared" si="25"/>
        <v>0</v>
      </c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9">
        <f t="shared" si="26"/>
        <v>0</v>
      </c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9">
        <f t="shared" si="27"/>
        <v>0</v>
      </c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9">
        <f t="shared" si="28"/>
        <v>0</v>
      </c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9">
        <f t="shared" si="29"/>
        <v>0</v>
      </c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9">
        <f t="shared" si="30"/>
        <v>0</v>
      </c>
      <c r="EA36" s="17"/>
      <c r="EB36" s="17"/>
      <c r="EC36" s="17"/>
      <c r="ED36" s="17"/>
      <c r="EE36" s="17"/>
      <c r="EF36" s="17"/>
      <c r="EG36" s="17"/>
      <c r="EH36" s="17"/>
      <c r="EI36" s="17"/>
      <c r="EJ36" s="17"/>
      <c r="EK36" s="17"/>
      <c r="EL36" s="17"/>
      <c r="EM36" s="19">
        <f t="shared" si="31"/>
        <v>0</v>
      </c>
      <c r="EO36" s="17"/>
      <c r="EP36" s="17"/>
      <c r="EQ36" s="17"/>
      <c r="ER36" s="17"/>
      <c r="ES36" s="17"/>
      <c r="ET36" s="17"/>
      <c r="EU36" s="17"/>
      <c r="EV36" s="17"/>
      <c r="EW36" s="17"/>
      <c r="EX36" s="17"/>
      <c r="EY36" s="17"/>
      <c r="EZ36" s="17"/>
      <c r="FA36" s="19">
        <f t="shared" si="32"/>
        <v>0</v>
      </c>
    </row>
    <row r="37" spans="3:157" hidden="1" x14ac:dyDescent="0.25">
      <c r="C37" s="16" t="s">
        <v>16</v>
      </c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9">
        <f t="shared" si="22"/>
        <v>0</v>
      </c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9">
        <f t="shared" si="23"/>
        <v>0</v>
      </c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9">
        <f t="shared" si="24"/>
        <v>0</v>
      </c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9">
        <f t="shared" si="25"/>
        <v>0</v>
      </c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9">
        <f t="shared" si="26"/>
        <v>0</v>
      </c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9">
        <f t="shared" si="27"/>
        <v>0</v>
      </c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9">
        <f t="shared" si="28"/>
        <v>0</v>
      </c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9">
        <f t="shared" si="29"/>
        <v>0</v>
      </c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9">
        <f t="shared" si="30"/>
        <v>0</v>
      </c>
      <c r="EA37" s="17"/>
      <c r="EB37" s="17"/>
      <c r="EC37" s="17"/>
      <c r="ED37" s="17"/>
      <c r="EE37" s="17"/>
      <c r="EF37" s="17"/>
      <c r="EG37" s="17"/>
      <c r="EH37" s="17"/>
      <c r="EI37" s="17"/>
      <c r="EJ37" s="17"/>
      <c r="EK37" s="17"/>
      <c r="EL37" s="17"/>
      <c r="EM37" s="19">
        <f t="shared" si="31"/>
        <v>0</v>
      </c>
      <c r="EO37" s="17"/>
      <c r="EP37" s="17"/>
      <c r="EQ37" s="17"/>
      <c r="ER37" s="17"/>
      <c r="ES37" s="17"/>
      <c r="ET37" s="17"/>
      <c r="EU37" s="17"/>
      <c r="EV37" s="17"/>
      <c r="EW37" s="17"/>
      <c r="EX37" s="17"/>
      <c r="EY37" s="17"/>
      <c r="EZ37" s="17"/>
      <c r="FA37" s="19">
        <f t="shared" si="32"/>
        <v>0</v>
      </c>
    </row>
    <row r="38" spans="3:157" hidden="1" x14ac:dyDescent="0.25">
      <c r="C38" s="16" t="s">
        <v>16</v>
      </c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9">
        <f t="shared" si="22"/>
        <v>0</v>
      </c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9">
        <f t="shared" si="23"/>
        <v>0</v>
      </c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9">
        <f t="shared" si="24"/>
        <v>0</v>
      </c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9">
        <f t="shared" si="25"/>
        <v>0</v>
      </c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9">
        <f t="shared" si="26"/>
        <v>0</v>
      </c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9">
        <f t="shared" si="27"/>
        <v>0</v>
      </c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9">
        <f t="shared" si="28"/>
        <v>0</v>
      </c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9">
        <f t="shared" si="29"/>
        <v>0</v>
      </c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9">
        <f t="shared" si="30"/>
        <v>0</v>
      </c>
      <c r="EA38" s="17"/>
      <c r="EB38" s="17"/>
      <c r="EC38" s="17"/>
      <c r="ED38" s="17"/>
      <c r="EE38" s="17"/>
      <c r="EF38" s="17"/>
      <c r="EG38" s="17"/>
      <c r="EH38" s="17"/>
      <c r="EI38" s="17"/>
      <c r="EJ38" s="17"/>
      <c r="EK38" s="17"/>
      <c r="EL38" s="17"/>
      <c r="EM38" s="19">
        <f t="shared" si="31"/>
        <v>0</v>
      </c>
      <c r="EO38" s="17"/>
      <c r="EP38" s="17"/>
      <c r="EQ38" s="17"/>
      <c r="ER38" s="17"/>
      <c r="ES38" s="17"/>
      <c r="ET38" s="17"/>
      <c r="EU38" s="17"/>
      <c r="EV38" s="17"/>
      <c r="EW38" s="17"/>
      <c r="EX38" s="17"/>
      <c r="EY38" s="17"/>
      <c r="EZ38" s="17"/>
      <c r="FA38" s="19">
        <f t="shared" si="32"/>
        <v>0</v>
      </c>
    </row>
    <row r="39" spans="3:157" hidden="1" x14ac:dyDescent="0.25">
      <c r="C39" s="16" t="s">
        <v>16</v>
      </c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9">
        <f t="shared" si="22"/>
        <v>0</v>
      </c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9">
        <f t="shared" si="23"/>
        <v>0</v>
      </c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9">
        <f t="shared" si="24"/>
        <v>0</v>
      </c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9">
        <f t="shared" si="25"/>
        <v>0</v>
      </c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9">
        <f t="shared" si="26"/>
        <v>0</v>
      </c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9">
        <f t="shared" si="27"/>
        <v>0</v>
      </c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9">
        <f t="shared" si="28"/>
        <v>0</v>
      </c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9">
        <f t="shared" si="29"/>
        <v>0</v>
      </c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9">
        <f t="shared" si="30"/>
        <v>0</v>
      </c>
      <c r="EA39" s="17"/>
      <c r="EB39" s="17"/>
      <c r="EC39" s="17"/>
      <c r="ED39" s="17"/>
      <c r="EE39" s="17"/>
      <c r="EF39" s="17"/>
      <c r="EG39" s="17"/>
      <c r="EH39" s="17"/>
      <c r="EI39" s="17"/>
      <c r="EJ39" s="17"/>
      <c r="EK39" s="17"/>
      <c r="EL39" s="17"/>
      <c r="EM39" s="19">
        <f t="shared" si="31"/>
        <v>0</v>
      </c>
      <c r="EO39" s="17"/>
      <c r="EP39" s="17"/>
      <c r="EQ39" s="17"/>
      <c r="ER39" s="17"/>
      <c r="ES39" s="17"/>
      <c r="ET39" s="17"/>
      <c r="EU39" s="17"/>
      <c r="EV39" s="17"/>
      <c r="EW39" s="17"/>
      <c r="EX39" s="17"/>
      <c r="EY39" s="17"/>
      <c r="EZ39" s="17"/>
      <c r="FA39" s="19">
        <f t="shared" si="32"/>
        <v>0</v>
      </c>
    </row>
    <row r="40" spans="3:157" ht="15" hidden="1" customHeight="1" x14ac:dyDescent="0.25">
      <c r="C40" s="16" t="s">
        <v>16</v>
      </c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9">
        <f t="shared" si="22"/>
        <v>0</v>
      </c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9">
        <f t="shared" si="23"/>
        <v>0</v>
      </c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9">
        <f t="shared" si="24"/>
        <v>0</v>
      </c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9">
        <f t="shared" si="25"/>
        <v>0</v>
      </c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9">
        <f t="shared" si="26"/>
        <v>0</v>
      </c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9">
        <f t="shared" si="27"/>
        <v>0</v>
      </c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9">
        <f t="shared" si="28"/>
        <v>0</v>
      </c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9">
        <f t="shared" si="29"/>
        <v>0</v>
      </c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9">
        <f t="shared" si="30"/>
        <v>0</v>
      </c>
      <c r="EA40" s="17"/>
      <c r="EB40" s="17"/>
      <c r="EC40" s="17"/>
      <c r="ED40" s="17"/>
      <c r="EE40" s="17"/>
      <c r="EF40" s="17"/>
      <c r="EG40" s="17"/>
      <c r="EH40" s="17"/>
      <c r="EI40" s="17"/>
      <c r="EJ40" s="17"/>
      <c r="EK40" s="17"/>
      <c r="EL40" s="17"/>
      <c r="EM40" s="19">
        <f t="shared" si="31"/>
        <v>0</v>
      </c>
      <c r="EO40" s="17"/>
      <c r="EP40" s="17"/>
      <c r="EQ40" s="17"/>
      <c r="ER40" s="17"/>
      <c r="ES40" s="17"/>
      <c r="ET40" s="17"/>
      <c r="EU40" s="17"/>
      <c r="EV40" s="17"/>
      <c r="EW40" s="17"/>
      <c r="EX40" s="17"/>
      <c r="EY40" s="17"/>
      <c r="EZ40" s="17"/>
      <c r="FA40" s="19">
        <f t="shared" si="32"/>
        <v>0</v>
      </c>
    </row>
    <row r="41" spans="3:157" x14ac:dyDescent="0.25">
      <c r="C41" s="13" t="s">
        <v>8</v>
      </c>
      <c r="E41" s="18" cm="1">
        <f t="array" aca="1" ref="E41" ca="1">SUM(INDIRECT(ADDRESS(expenses_min_row,COLUMN()) &amp;":"&amp; ADDRESS(expenses_max_row,COLUMN())))</f>
        <v>28918</v>
      </c>
      <c r="F41" s="18" cm="1">
        <f t="array" aca="1" ref="F41" ca="1">SUM(INDIRECT(ADDRESS(expenses_min_row,COLUMN()) &amp;":"&amp; ADDRESS(expenses_max_row,COLUMN())))</f>
        <v>29918</v>
      </c>
      <c r="G41" s="18" cm="1">
        <f t="array" aca="1" ref="G41" ca="1">SUM(INDIRECT(ADDRESS(expenses_min_row,COLUMN()) &amp;":"&amp; ADDRESS(expenses_max_row,COLUMN())))</f>
        <v>29418</v>
      </c>
      <c r="H41" s="18" cm="1">
        <f t="array" aca="1" ref="H41" ca="1">SUM(INDIRECT(ADDRESS(expenses_min_row,COLUMN()) &amp;":"&amp; ADDRESS(expenses_max_row,COLUMN())))</f>
        <v>46418</v>
      </c>
      <c r="I41" s="18" cm="1">
        <f t="array" aca="1" ref="I41" ca="1">SUM(INDIRECT(ADDRESS(expenses_min_row,COLUMN()) &amp;":"&amp; ADDRESS(expenses_max_row,COLUMN())))</f>
        <v>50418</v>
      </c>
      <c r="J41" s="18" cm="1">
        <f t="array" aca="1" ref="J41" ca="1">SUM(INDIRECT(ADDRESS(expenses_min_row,COLUMN()) &amp;":"&amp; ADDRESS(expenses_max_row,COLUMN())))</f>
        <v>48918</v>
      </c>
      <c r="K41" s="18" cm="1">
        <f t="array" aca="1" ref="K41" ca="1">SUM(INDIRECT(ADDRESS(expenses_min_row,COLUMN()) &amp;":"&amp; ADDRESS(expenses_max_row,COLUMN())))</f>
        <v>49418</v>
      </c>
      <c r="L41" s="18" cm="1">
        <f t="array" aca="1" ref="L41" ca="1">SUM(INDIRECT(ADDRESS(expenses_min_row,COLUMN()) &amp;":"&amp; ADDRESS(expenses_max_row,COLUMN())))</f>
        <v>46918</v>
      </c>
      <c r="M41" s="18" cm="1">
        <f t="array" aca="1" ref="M41" ca="1">SUM(INDIRECT(ADDRESS(expenses_min_row,COLUMN()) &amp;":"&amp; ADDRESS(expenses_max_row,COLUMN())))</f>
        <v>53418</v>
      </c>
      <c r="N41" s="18" cm="1">
        <f t="array" aca="1" ref="N41" ca="1">SUM(INDIRECT(ADDRESS(expenses_min_row,COLUMN()) &amp;":"&amp; ADDRESS(expenses_max_row,COLUMN())))</f>
        <v>46418</v>
      </c>
      <c r="O41" s="18" cm="1">
        <f t="array" aca="1" ref="O41" ca="1">SUM(INDIRECT(ADDRESS(expenses_min_row,COLUMN()) &amp;":"&amp; ADDRESS(expenses_max_row,COLUMN())))</f>
        <v>45918</v>
      </c>
      <c r="P41" s="18" cm="1">
        <f t="array" aca="1" ref="P41" ca="1">SUM(INDIRECT(ADDRESS(expenses_min_row,COLUMN()) &amp;":"&amp; ADDRESS(expenses_max_row,COLUMN())))</f>
        <v>54718</v>
      </c>
      <c r="Q41" s="18" cm="1">
        <f t="array" aca="1" ref="Q41" ca="1">SUM(INDIRECT(ADDRESS(expenses_min_row,COLUMN()) &amp;":"&amp; ADDRESS(expenses_max_row,COLUMN())))</f>
        <v>530816</v>
      </c>
      <c r="S41" s="18" cm="1">
        <f t="array" aca="1" ref="S41" ca="1">SUM(INDIRECT(ADDRESS(expenses_min_row,COLUMN()) &amp;":"&amp; ADDRESS(expenses_max_row,COLUMN())))</f>
        <v>0</v>
      </c>
      <c r="T41" s="18" cm="1">
        <f t="array" aca="1" ref="T41" ca="1">SUM(INDIRECT(ADDRESS(expenses_min_row,COLUMN()) &amp;":"&amp; ADDRESS(expenses_max_row,COLUMN())))</f>
        <v>0</v>
      </c>
      <c r="U41" s="18" cm="1">
        <f t="array" aca="1" ref="U41" ca="1">SUM(INDIRECT(ADDRESS(expenses_min_row,COLUMN()) &amp;":"&amp; ADDRESS(expenses_max_row,COLUMN())))</f>
        <v>0</v>
      </c>
      <c r="V41" s="18" cm="1">
        <f t="array" aca="1" ref="V41" ca="1">SUM(INDIRECT(ADDRESS(expenses_min_row,COLUMN()) &amp;":"&amp; ADDRESS(expenses_max_row,COLUMN())))</f>
        <v>0</v>
      </c>
      <c r="W41" s="18" cm="1">
        <f t="array" aca="1" ref="W41" ca="1">SUM(INDIRECT(ADDRESS(expenses_min_row,COLUMN()) &amp;":"&amp; ADDRESS(expenses_max_row,COLUMN())))</f>
        <v>0</v>
      </c>
      <c r="X41" s="18" cm="1">
        <f t="array" aca="1" ref="X41" ca="1">SUM(INDIRECT(ADDRESS(expenses_min_row,COLUMN()) &amp;":"&amp; ADDRESS(expenses_max_row,COLUMN())))</f>
        <v>0</v>
      </c>
      <c r="Y41" s="18" cm="1">
        <f t="array" aca="1" ref="Y41" ca="1">SUM(INDIRECT(ADDRESS(expenses_min_row,COLUMN()) &amp;":"&amp; ADDRESS(expenses_max_row,COLUMN())))</f>
        <v>0</v>
      </c>
      <c r="Z41" s="18" cm="1">
        <f t="array" aca="1" ref="Z41" ca="1">SUM(INDIRECT(ADDRESS(expenses_min_row,COLUMN()) &amp;":"&amp; ADDRESS(expenses_max_row,COLUMN())))</f>
        <v>0</v>
      </c>
      <c r="AA41" s="18" cm="1">
        <f t="array" aca="1" ref="AA41" ca="1">SUM(INDIRECT(ADDRESS(expenses_min_row,COLUMN()) &amp;":"&amp; ADDRESS(expenses_max_row,COLUMN())))</f>
        <v>0</v>
      </c>
      <c r="AB41" s="18" cm="1">
        <f t="array" aca="1" ref="AB41" ca="1">SUM(INDIRECT(ADDRESS(expenses_min_row,COLUMN()) &amp;":"&amp; ADDRESS(expenses_max_row,COLUMN())))</f>
        <v>0</v>
      </c>
      <c r="AC41" s="18" cm="1">
        <f t="array" aca="1" ref="AC41" ca="1">SUM(INDIRECT(ADDRESS(expenses_min_row,COLUMN()) &amp;":"&amp; ADDRESS(expenses_max_row,COLUMN())))</f>
        <v>0</v>
      </c>
      <c r="AD41" s="18" cm="1">
        <f t="array" aca="1" ref="AD41" ca="1">SUM(INDIRECT(ADDRESS(expenses_min_row,COLUMN()) &amp;":"&amp; ADDRESS(expenses_max_row,COLUMN())))</f>
        <v>0</v>
      </c>
      <c r="AE41" s="18" cm="1">
        <f t="array" aca="1" ref="AE41" ca="1">SUM(INDIRECT(ADDRESS(expenses_min_row,COLUMN()) &amp;":"&amp; ADDRESS(expenses_max_row,COLUMN())))</f>
        <v>0</v>
      </c>
      <c r="AG41" s="18" cm="1">
        <f t="array" aca="1" ref="AG41" ca="1">SUM(INDIRECT(ADDRESS(expenses_min_row,COLUMN()) &amp;":"&amp; ADDRESS(expenses_max_row,COLUMN())))</f>
        <v>0</v>
      </c>
      <c r="AH41" s="18" cm="1">
        <f t="array" aca="1" ref="AH41" ca="1">SUM(INDIRECT(ADDRESS(expenses_min_row,COLUMN()) &amp;":"&amp; ADDRESS(expenses_max_row,COLUMN())))</f>
        <v>0</v>
      </c>
      <c r="AI41" s="18" cm="1">
        <f t="array" aca="1" ref="AI41" ca="1">SUM(INDIRECT(ADDRESS(expenses_min_row,COLUMN()) &amp;":"&amp; ADDRESS(expenses_max_row,COLUMN())))</f>
        <v>0</v>
      </c>
      <c r="AJ41" s="18" cm="1">
        <f t="array" aca="1" ref="AJ41" ca="1">SUM(INDIRECT(ADDRESS(expenses_min_row,COLUMN()) &amp;":"&amp; ADDRESS(expenses_max_row,COLUMN())))</f>
        <v>0</v>
      </c>
      <c r="AK41" s="18" cm="1">
        <f t="array" aca="1" ref="AK41" ca="1">SUM(INDIRECT(ADDRESS(expenses_min_row,COLUMN()) &amp;":"&amp; ADDRESS(expenses_max_row,COLUMN())))</f>
        <v>0</v>
      </c>
      <c r="AL41" s="18" cm="1">
        <f t="array" aca="1" ref="AL41" ca="1">SUM(INDIRECT(ADDRESS(expenses_min_row,COLUMN()) &amp;":"&amp; ADDRESS(expenses_max_row,COLUMN())))</f>
        <v>0</v>
      </c>
      <c r="AM41" s="18" cm="1">
        <f t="array" aca="1" ref="AM41" ca="1">SUM(INDIRECT(ADDRESS(expenses_min_row,COLUMN()) &amp;":"&amp; ADDRESS(expenses_max_row,COLUMN())))</f>
        <v>0</v>
      </c>
      <c r="AN41" s="18" cm="1">
        <f t="array" aca="1" ref="AN41" ca="1">SUM(INDIRECT(ADDRESS(expenses_min_row,COLUMN()) &amp;":"&amp; ADDRESS(expenses_max_row,COLUMN())))</f>
        <v>0</v>
      </c>
      <c r="AO41" s="18" cm="1">
        <f t="array" aca="1" ref="AO41" ca="1">SUM(INDIRECT(ADDRESS(expenses_min_row,COLUMN()) &amp;":"&amp; ADDRESS(expenses_max_row,COLUMN())))</f>
        <v>0</v>
      </c>
      <c r="AP41" s="18" cm="1">
        <f t="array" aca="1" ref="AP41" ca="1">SUM(INDIRECT(ADDRESS(expenses_min_row,COLUMN()) &amp;":"&amp; ADDRESS(expenses_max_row,COLUMN())))</f>
        <v>0</v>
      </c>
      <c r="AQ41" s="18" cm="1">
        <f t="array" aca="1" ref="AQ41" ca="1">SUM(INDIRECT(ADDRESS(expenses_min_row,COLUMN()) &amp;":"&amp; ADDRESS(expenses_max_row,COLUMN())))</f>
        <v>0</v>
      </c>
      <c r="AR41" s="18" cm="1">
        <f t="array" aca="1" ref="AR41" ca="1">SUM(INDIRECT(ADDRESS(expenses_min_row,COLUMN()) &amp;":"&amp; ADDRESS(expenses_max_row,COLUMN())))</f>
        <v>0</v>
      </c>
      <c r="AS41" s="18" cm="1">
        <f t="array" aca="1" ref="AS41" ca="1">SUM(INDIRECT(ADDRESS(expenses_min_row,COLUMN()) &amp;":"&amp; ADDRESS(expenses_max_row,COLUMN())))</f>
        <v>0</v>
      </c>
      <c r="AU41" s="18" cm="1">
        <f t="array" aca="1" ref="AU41" ca="1">SUM(INDIRECT(ADDRESS(expenses_min_row,COLUMN()) &amp;":"&amp; ADDRESS(expenses_max_row,COLUMN())))</f>
        <v>0</v>
      </c>
      <c r="AV41" s="18" cm="1">
        <f t="array" aca="1" ref="AV41" ca="1">SUM(INDIRECT(ADDRESS(expenses_min_row,COLUMN()) &amp;":"&amp; ADDRESS(expenses_max_row,COLUMN())))</f>
        <v>0</v>
      </c>
      <c r="AW41" s="18" cm="1">
        <f t="array" aca="1" ref="AW41" ca="1">SUM(INDIRECT(ADDRESS(expenses_min_row,COLUMN()) &amp;":"&amp; ADDRESS(expenses_max_row,COLUMN())))</f>
        <v>0</v>
      </c>
      <c r="AX41" s="18" cm="1">
        <f t="array" aca="1" ref="AX41" ca="1">SUM(INDIRECT(ADDRESS(expenses_min_row,COLUMN()) &amp;":"&amp; ADDRESS(expenses_max_row,COLUMN())))</f>
        <v>0</v>
      </c>
      <c r="AY41" s="18" cm="1">
        <f t="array" aca="1" ref="AY41" ca="1">SUM(INDIRECT(ADDRESS(expenses_min_row,COLUMN()) &amp;":"&amp; ADDRESS(expenses_max_row,COLUMN())))</f>
        <v>0</v>
      </c>
      <c r="AZ41" s="18" cm="1">
        <f t="array" aca="1" ref="AZ41" ca="1">SUM(INDIRECT(ADDRESS(expenses_min_row,COLUMN()) &amp;":"&amp; ADDRESS(expenses_max_row,COLUMN())))</f>
        <v>0</v>
      </c>
      <c r="BA41" s="18" cm="1">
        <f t="array" aca="1" ref="BA41" ca="1">SUM(INDIRECT(ADDRESS(expenses_min_row,COLUMN()) &amp;":"&amp; ADDRESS(expenses_max_row,COLUMN())))</f>
        <v>0</v>
      </c>
      <c r="BB41" s="18" cm="1">
        <f t="array" aca="1" ref="BB41" ca="1">SUM(INDIRECT(ADDRESS(expenses_min_row,COLUMN()) &amp;":"&amp; ADDRESS(expenses_max_row,COLUMN())))</f>
        <v>0</v>
      </c>
      <c r="BC41" s="18" cm="1">
        <f t="array" aca="1" ref="BC41" ca="1">SUM(INDIRECT(ADDRESS(expenses_min_row,COLUMN()) &amp;":"&amp; ADDRESS(expenses_max_row,COLUMN())))</f>
        <v>0</v>
      </c>
      <c r="BD41" s="18" cm="1">
        <f t="array" aca="1" ref="BD41" ca="1">SUM(INDIRECT(ADDRESS(expenses_min_row,COLUMN()) &amp;":"&amp; ADDRESS(expenses_max_row,COLUMN())))</f>
        <v>0</v>
      </c>
      <c r="BE41" s="18" cm="1">
        <f t="array" aca="1" ref="BE41" ca="1">SUM(INDIRECT(ADDRESS(expenses_min_row,COLUMN()) &amp;":"&amp; ADDRESS(expenses_max_row,COLUMN())))</f>
        <v>0</v>
      </c>
      <c r="BF41" s="18" cm="1">
        <f t="array" aca="1" ref="BF41" ca="1">SUM(INDIRECT(ADDRESS(expenses_min_row,COLUMN()) &amp;":"&amp; ADDRESS(expenses_max_row,COLUMN())))</f>
        <v>0</v>
      </c>
      <c r="BG41" s="18" cm="1">
        <f t="array" aca="1" ref="BG41" ca="1">SUM(INDIRECT(ADDRESS(expenses_min_row,COLUMN()) &amp;":"&amp; ADDRESS(expenses_max_row,COLUMN())))</f>
        <v>0</v>
      </c>
      <c r="BI41" s="18" cm="1">
        <f t="array" aca="1" ref="BI41" ca="1">SUM(INDIRECT(ADDRESS(expenses_min_row,COLUMN()) &amp;":"&amp; ADDRESS(expenses_max_row,COLUMN())))</f>
        <v>0</v>
      </c>
      <c r="BJ41" s="18" cm="1">
        <f t="array" aca="1" ref="BJ41" ca="1">SUM(INDIRECT(ADDRESS(expenses_min_row,COLUMN()) &amp;":"&amp; ADDRESS(expenses_max_row,COLUMN())))</f>
        <v>0</v>
      </c>
      <c r="BK41" s="18" cm="1">
        <f t="array" aca="1" ref="BK41" ca="1">SUM(INDIRECT(ADDRESS(expenses_min_row,COLUMN()) &amp;":"&amp; ADDRESS(expenses_max_row,COLUMN())))</f>
        <v>0</v>
      </c>
      <c r="BL41" s="18" cm="1">
        <f t="array" aca="1" ref="BL41" ca="1">SUM(INDIRECT(ADDRESS(expenses_min_row,COLUMN()) &amp;":"&amp; ADDRESS(expenses_max_row,COLUMN())))</f>
        <v>0</v>
      </c>
      <c r="BM41" s="18" cm="1">
        <f t="array" aca="1" ref="BM41" ca="1">SUM(INDIRECT(ADDRESS(expenses_min_row,COLUMN()) &amp;":"&amp; ADDRESS(expenses_max_row,COLUMN())))</f>
        <v>0</v>
      </c>
      <c r="BN41" s="18" cm="1">
        <f t="array" aca="1" ref="BN41" ca="1">SUM(INDIRECT(ADDRESS(expenses_min_row,COLUMN()) &amp;":"&amp; ADDRESS(expenses_max_row,COLUMN())))</f>
        <v>0</v>
      </c>
      <c r="BO41" s="18" cm="1">
        <f t="array" aca="1" ref="BO41" ca="1">SUM(INDIRECT(ADDRESS(expenses_min_row,COLUMN()) &amp;":"&amp; ADDRESS(expenses_max_row,COLUMN())))</f>
        <v>0</v>
      </c>
      <c r="BP41" s="18" cm="1">
        <f t="array" aca="1" ref="BP41" ca="1">SUM(INDIRECT(ADDRESS(expenses_min_row,COLUMN()) &amp;":"&amp; ADDRESS(expenses_max_row,COLUMN())))</f>
        <v>0</v>
      </c>
      <c r="BQ41" s="18" cm="1">
        <f t="array" aca="1" ref="BQ41" ca="1">SUM(INDIRECT(ADDRESS(expenses_min_row,COLUMN()) &amp;":"&amp; ADDRESS(expenses_max_row,COLUMN())))</f>
        <v>0</v>
      </c>
      <c r="BR41" s="18" cm="1">
        <f t="array" aca="1" ref="BR41" ca="1">SUM(INDIRECT(ADDRESS(expenses_min_row,COLUMN()) &amp;":"&amp; ADDRESS(expenses_max_row,COLUMN())))</f>
        <v>0</v>
      </c>
      <c r="BS41" s="18" cm="1">
        <f t="array" aca="1" ref="BS41" ca="1">SUM(INDIRECT(ADDRESS(expenses_min_row,COLUMN()) &amp;":"&amp; ADDRESS(expenses_max_row,COLUMN())))</f>
        <v>0</v>
      </c>
      <c r="BT41" s="18" cm="1">
        <f t="array" aca="1" ref="BT41" ca="1">SUM(INDIRECT(ADDRESS(expenses_min_row,COLUMN()) &amp;":"&amp; ADDRESS(expenses_max_row,COLUMN())))</f>
        <v>0</v>
      </c>
      <c r="BU41" s="18" cm="1">
        <f t="array" aca="1" ref="BU41" ca="1">SUM(INDIRECT(ADDRESS(expenses_min_row,COLUMN()) &amp;":"&amp; ADDRESS(expenses_max_row,COLUMN())))</f>
        <v>0</v>
      </c>
      <c r="BW41" s="18" cm="1">
        <f t="array" aca="1" ref="BW41" ca="1">SUM(INDIRECT(ADDRESS(expenses_min_row,COLUMN()) &amp;":"&amp; ADDRESS(expenses_max_row,COLUMN())))</f>
        <v>0</v>
      </c>
      <c r="BX41" s="18" cm="1">
        <f t="array" aca="1" ref="BX41" ca="1">SUM(INDIRECT(ADDRESS(expenses_min_row,COLUMN()) &amp;":"&amp; ADDRESS(expenses_max_row,COLUMN())))</f>
        <v>0</v>
      </c>
      <c r="BY41" s="18" cm="1">
        <f t="array" aca="1" ref="BY41" ca="1">SUM(INDIRECT(ADDRESS(expenses_min_row,COLUMN()) &amp;":"&amp; ADDRESS(expenses_max_row,COLUMN())))</f>
        <v>0</v>
      </c>
      <c r="BZ41" s="18" cm="1">
        <f t="array" aca="1" ref="BZ41" ca="1">SUM(INDIRECT(ADDRESS(expenses_min_row,COLUMN()) &amp;":"&amp; ADDRESS(expenses_max_row,COLUMN())))</f>
        <v>0</v>
      </c>
      <c r="CA41" s="18" cm="1">
        <f t="array" aca="1" ref="CA41" ca="1">SUM(INDIRECT(ADDRESS(expenses_min_row,COLUMN()) &amp;":"&amp; ADDRESS(expenses_max_row,COLUMN())))</f>
        <v>0</v>
      </c>
      <c r="CB41" s="18" cm="1">
        <f t="array" aca="1" ref="CB41" ca="1">SUM(INDIRECT(ADDRESS(expenses_min_row,COLUMN()) &amp;":"&amp; ADDRESS(expenses_max_row,COLUMN())))</f>
        <v>0</v>
      </c>
      <c r="CC41" s="18" cm="1">
        <f t="array" aca="1" ref="CC41" ca="1">SUM(INDIRECT(ADDRESS(expenses_min_row,COLUMN()) &amp;":"&amp; ADDRESS(expenses_max_row,COLUMN())))</f>
        <v>0</v>
      </c>
      <c r="CD41" s="18" cm="1">
        <f t="array" aca="1" ref="CD41" ca="1">SUM(INDIRECT(ADDRESS(expenses_min_row,COLUMN()) &amp;":"&amp; ADDRESS(expenses_max_row,COLUMN())))</f>
        <v>0</v>
      </c>
      <c r="CE41" s="18" cm="1">
        <f t="array" aca="1" ref="CE41" ca="1">SUM(INDIRECT(ADDRESS(expenses_min_row,COLUMN()) &amp;":"&amp; ADDRESS(expenses_max_row,COLUMN())))</f>
        <v>0</v>
      </c>
      <c r="CF41" s="18" cm="1">
        <f t="array" aca="1" ref="CF41" ca="1">SUM(INDIRECT(ADDRESS(expenses_min_row,COLUMN()) &amp;":"&amp; ADDRESS(expenses_max_row,COLUMN())))</f>
        <v>0</v>
      </c>
      <c r="CG41" s="18" cm="1">
        <f t="array" aca="1" ref="CG41" ca="1">SUM(INDIRECT(ADDRESS(expenses_min_row,COLUMN()) &amp;":"&amp; ADDRESS(expenses_max_row,COLUMN())))</f>
        <v>0</v>
      </c>
      <c r="CH41" s="18" cm="1">
        <f t="array" aca="1" ref="CH41" ca="1">SUM(INDIRECT(ADDRESS(expenses_min_row,COLUMN()) &amp;":"&amp; ADDRESS(expenses_max_row,COLUMN())))</f>
        <v>0</v>
      </c>
      <c r="CI41" s="18" cm="1">
        <f t="array" aca="1" ref="CI41" ca="1">SUM(INDIRECT(ADDRESS(expenses_min_row,COLUMN()) &amp;":"&amp; ADDRESS(expenses_max_row,COLUMN())))</f>
        <v>0</v>
      </c>
      <c r="CK41" s="18" cm="1">
        <f t="array" aca="1" ref="CK41" ca="1">SUM(INDIRECT(ADDRESS(expenses_min_row,COLUMN()) &amp;":"&amp; ADDRESS(expenses_max_row,COLUMN())))</f>
        <v>0</v>
      </c>
      <c r="CL41" s="18" cm="1">
        <f t="array" aca="1" ref="CL41" ca="1">SUM(INDIRECT(ADDRESS(expenses_min_row,COLUMN()) &amp;":"&amp; ADDRESS(expenses_max_row,COLUMN())))</f>
        <v>0</v>
      </c>
      <c r="CM41" s="18" cm="1">
        <f t="array" aca="1" ref="CM41" ca="1">SUM(INDIRECT(ADDRESS(expenses_min_row,COLUMN()) &amp;":"&amp; ADDRESS(expenses_max_row,COLUMN())))</f>
        <v>0</v>
      </c>
      <c r="CN41" s="18" cm="1">
        <f t="array" aca="1" ref="CN41" ca="1">SUM(INDIRECT(ADDRESS(expenses_min_row,COLUMN()) &amp;":"&amp; ADDRESS(expenses_max_row,COLUMN())))</f>
        <v>0</v>
      </c>
      <c r="CO41" s="18" cm="1">
        <f t="array" aca="1" ref="CO41" ca="1">SUM(INDIRECT(ADDRESS(expenses_min_row,COLUMN()) &amp;":"&amp; ADDRESS(expenses_max_row,COLUMN())))</f>
        <v>0</v>
      </c>
      <c r="CP41" s="18" cm="1">
        <f t="array" aca="1" ref="CP41" ca="1">SUM(INDIRECT(ADDRESS(expenses_min_row,COLUMN()) &amp;":"&amp; ADDRESS(expenses_max_row,COLUMN())))</f>
        <v>0</v>
      </c>
      <c r="CQ41" s="18" cm="1">
        <f t="array" aca="1" ref="CQ41" ca="1">SUM(INDIRECT(ADDRESS(expenses_min_row,COLUMN()) &amp;":"&amp; ADDRESS(expenses_max_row,COLUMN())))</f>
        <v>0</v>
      </c>
      <c r="CR41" s="18" cm="1">
        <f t="array" aca="1" ref="CR41" ca="1">SUM(INDIRECT(ADDRESS(expenses_min_row,COLUMN()) &amp;":"&amp; ADDRESS(expenses_max_row,COLUMN())))</f>
        <v>0</v>
      </c>
      <c r="CS41" s="18" cm="1">
        <f t="array" aca="1" ref="CS41" ca="1">SUM(INDIRECT(ADDRESS(expenses_min_row,COLUMN()) &amp;":"&amp; ADDRESS(expenses_max_row,COLUMN())))</f>
        <v>0</v>
      </c>
      <c r="CT41" s="18" cm="1">
        <f t="array" aca="1" ref="CT41" ca="1">SUM(INDIRECT(ADDRESS(expenses_min_row,COLUMN()) &amp;":"&amp; ADDRESS(expenses_max_row,COLUMN())))</f>
        <v>0</v>
      </c>
      <c r="CU41" s="18" cm="1">
        <f t="array" aca="1" ref="CU41" ca="1">SUM(INDIRECT(ADDRESS(expenses_min_row,COLUMN()) &amp;":"&amp; ADDRESS(expenses_max_row,COLUMN())))</f>
        <v>0</v>
      </c>
      <c r="CV41" s="18" cm="1">
        <f t="array" aca="1" ref="CV41" ca="1">SUM(INDIRECT(ADDRESS(expenses_min_row,COLUMN()) &amp;":"&amp; ADDRESS(expenses_max_row,COLUMN())))</f>
        <v>0</v>
      </c>
      <c r="CW41" s="18" cm="1">
        <f t="array" aca="1" ref="CW41" ca="1">SUM(INDIRECT(ADDRESS(expenses_min_row,COLUMN()) &amp;":"&amp; ADDRESS(expenses_max_row,COLUMN())))</f>
        <v>0</v>
      </c>
      <c r="CY41" s="18" cm="1">
        <f t="array" aca="1" ref="CY41" ca="1">SUM(INDIRECT(ADDRESS(expenses_min_row,COLUMN()) &amp;":"&amp; ADDRESS(expenses_max_row,COLUMN())))</f>
        <v>0</v>
      </c>
      <c r="CZ41" s="18" cm="1">
        <f t="array" aca="1" ref="CZ41" ca="1">SUM(INDIRECT(ADDRESS(expenses_min_row,COLUMN()) &amp;":"&amp; ADDRESS(expenses_max_row,COLUMN())))</f>
        <v>0</v>
      </c>
      <c r="DA41" s="18" cm="1">
        <f t="array" aca="1" ref="DA41" ca="1">SUM(INDIRECT(ADDRESS(expenses_min_row,COLUMN()) &amp;":"&amp; ADDRESS(expenses_max_row,COLUMN())))</f>
        <v>0</v>
      </c>
      <c r="DB41" s="18" cm="1">
        <f t="array" aca="1" ref="DB41" ca="1">SUM(INDIRECT(ADDRESS(expenses_min_row,COLUMN()) &amp;":"&amp; ADDRESS(expenses_max_row,COLUMN())))</f>
        <v>0</v>
      </c>
      <c r="DC41" s="18" cm="1">
        <f t="array" aca="1" ref="DC41" ca="1">SUM(INDIRECT(ADDRESS(expenses_min_row,COLUMN()) &amp;":"&amp; ADDRESS(expenses_max_row,COLUMN())))</f>
        <v>0</v>
      </c>
      <c r="DD41" s="18" cm="1">
        <f t="array" aca="1" ref="DD41" ca="1">SUM(INDIRECT(ADDRESS(expenses_min_row,COLUMN()) &amp;":"&amp; ADDRESS(expenses_max_row,COLUMN())))</f>
        <v>0</v>
      </c>
      <c r="DE41" s="18" cm="1">
        <f t="array" aca="1" ref="DE41" ca="1">SUM(INDIRECT(ADDRESS(expenses_min_row,COLUMN()) &amp;":"&amp; ADDRESS(expenses_max_row,COLUMN())))</f>
        <v>0</v>
      </c>
      <c r="DF41" s="18" cm="1">
        <f t="array" aca="1" ref="DF41" ca="1">SUM(INDIRECT(ADDRESS(expenses_min_row,COLUMN()) &amp;":"&amp; ADDRESS(expenses_max_row,COLUMN())))</f>
        <v>0</v>
      </c>
      <c r="DG41" s="18" cm="1">
        <f t="array" aca="1" ref="DG41" ca="1">SUM(INDIRECT(ADDRESS(expenses_min_row,COLUMN()) &amp;":"&amp; ADDRESS(expenses_max_row,COLUMN())))</f>
        <v>0</v>
      </c>
      <c r="DH41" s="18" cm="1">
        <f t="array" aca="1" ref="DH41" ca="1">SUM(INDIRECT(ADDRESS(expenses_min_row,COLUMN()) &amp;":"&amp; ADDRESS(expenses_max_row,COLUMN())))</f>
        <v>0</v>
      </c>
      <c r="DI41" s="18" cm="1">
        <f t="array" aca="1" ref="DI41" ca="1">SUM(INDIRECT(ADDRESS(expenses_min_row,COLUMN()) &amp;":"&amp; ADDRESS(expenses_max_row,COLUMN())))</f>
        <v>0</v>
      </c>
      <c r="DJ41" s="18" cm="1">
        <f t="array" aca="1" ref="DJ41" ca="1">SUM(INDIRECT(ADDRESS(expenses_min_row,COLUMN()) &amp;":"&amp; ADDRESS(expenses_max_row,COLUMN())))</f>
        <v>0</v>
      </c>
      <c r="DK41" s="18" cm="1">
        <f t="array" aca="1" ref="DK41" ca="1">SUM(INDIRECT(ADDRESS(expenses_min_row,COLUMN()) &amp;":"&amp; ADDRESS(expenses_max_row,COLUMN())))</f>
        <v>0</v>
      </c>
      <c r="DM41" s="18" cm="1">
        <f t="array" aca="1" ref="DM41" ca="1">SUM(INDIRECT(ADDRESS(expenses_min_row,COLUMN()) &amp;":"&amp; ADDRESS(expenses_max_row,COLUMN())))</f>
        <v>0</v>
      </c>
      <c r="DN41" s="18" cm="1">
        <f t="array" aca="1" ref="DN41" ca="1">SUM(INDIRECT(ADDRESS(expenses_min_row,COLUMN()) &amp;":"&amp; ADDRESS(expenses_max_row,COLUMN())))</f>
        <v>0</v>
      </c>
      <c r="DO41" s="18" cm="1">
        <f t="array" aca="1" ref="DO41" ca="1">SUM(INDIRECT(ADDRESS(expenses_min_row,COLUMN()) &amp;":"&amp; ADDRESS(expenses_max_row,COLUMN())))</f>
        <v>0</v>
      </c>
      <c r="DP41" s="18" cm="1">
        <f t="array" aca="1" ref="DP41" ca="1">SUM(INDIRECT(ADDRESS(expenses_min_row,COLUMN()) &amp;":"&amp; ADDRESS(expenses_max_row,COLUMN())))</f>
        <v>0</v>
      </c>
      <c r="DQ41" s="18" cm="1">
        <f t="array" aca="1" ref="DQ41" ca="1">SUM(INDIRECT(ADDRESS(expenses_min_row,COLUMN()) &amp;":"&amp; ADDRESS(expenses_max_row,COLUMN())))</f>
        <v>0</v>
      </c>
      <c r="DR41" s="18" cm="1">
        <f t="array" aca="1" ref="DR41" ca="1">SUM(INDIRECT(ADDRESS(expenses_min_row,COLUMN()) &amp;":"&amp; ADDRESS(expenses_max_row,COLUMN())))</f>
        <v>0</v>
      </c>
      <c r="DS41" s="18" cm="1">
        <f t="array" aca="1" ref="DS41" ca="1">SUM(INDIRECT(ADDRESS(expenses_min_row,COLUMN()) &amp;":"&amp; ADDRESS(expenses_max_row,COLUMN())))</f>
        <v>0</v>
      </c>
      <c r="DT41" s="18" cm="1">
        <f t="array" aca="1" ref="DT41" ca="1">SUM(INDIRECT(ADDRESS(expenses_min_row,COLUMN()) &amp;":"&amp; ADDRESS(expenses_max_row,COLUMN())))</f>
        <v>0</v>
      </c>
      <c r="DU41" s="18" cm="1">
        <f t="array" aca="1" ref="DU41" ca="1">SUM(INDIRECT(ADDRESS(expenses_min_row,COLUMN()) &amp;":"&amp; ADDRESS(expenses_max_row,COLUMN())))</f>
        <v>0</v>
      </c>
      <c r="DV41" s="18" cm="1">
        <f t="array" aca="1" ref="DV41" ca="1">SUM(INDIRECT(ADDRESS(expenses_min_row,COLUMN()) &amp;":"&amp; ADDRESS(expenses_max_row,COLUMN())))</f>
        <v>0</v>
      </c>
      <c r="DW41" s="18" cm="1">
        <f t="array" aca="1" ref="DW41" ca="1">SUM(INDIRECT(ADDRESS(expenses_min_row,COLUMN()) &amp;":"&amp; ADDRESS(expenses_max_row,COLUMN())))</f>
        <v>0</v>
      </c>
      <c r="DX41" s="18" cm="1">
        <f t="array" aca="1" ref="DX41" ca="1">SUM(INDIRECT(ADDRESS(expenses_min_row,COLUMN()) &amp;":"&amp; ADDRESS(expenses_max_row,COLUMN())))</f>
        <v>0</v>
      </c>
      <c r="DY41" s="18" cm="1">
        <f t="array" aca="1" ref="DY41" ca="1">SUM(INDIRECT(ADDRESS(expenses_min_row,COLUMN()) &amp;":"&amp; ADDRESS(expenses_max_row,COLUMN())))</f>
        <v>0</v>
      </c>
      <c r="EA41" s="18" cm="1">
        <f t="array" aca="1" ref="EA41" ca="1">SUM(INDIRECT(ADDRESS(expenses_min_row,COLUMN()) &amp;":"&amp; ADDRESS(expenses_max_row,COLUMN())))</f>
        <v>0</v>
      </c>
      <c r="EB41" s="18" cm="1">
        <f t="array" aca="1" ref="EB41" ca="1">SUM(INDIRECT(ADDRESS(expenses_min_row,COLUMN()) &amp;":"&amp; ADDRESS(expenses_max_row,COLUMN())))</f>
        <v>0</v>
      </c>
      <c r="EC41" s="18" cm="1">
        <f t="array" aca="1" ref="EC41" ca="1">SUM(INDIRECT(ADDRESS(expenses_min_row,COLUMN()) &amp;":"&amp; ADDRESS(expenses_max_row,COLUMN())))</f>
        <v>0</v>
      </c>
      <c r="ED41" s="18" cm="1">
        <f t="array" aca="1" ref="ED41" ca="1">SUM(INDIRECT(ADDRESS(expenses_min_row,COLUMN()) &amp;":"&amp; ADDRESS(expenses_max_row,COLUMN())))</f>
        <v>0</v>
      </c>
      <c r="EE41" s="18" cm="1">
        <f t="array" aca="1" ref="EE41" ca="1">SUM(INDIRECT(ADDRESS(expenses_min_row,COLUMN()) &amp;":"&amp; ADDRESS(expenses_max_row,COLUMN())))</f>
        <v>0</v>
      </c>
      <c r="EF41" s="18" cm="1">
        <f t="array" aca="1" ref="EF41" ca="1">SUM(INDIRECT(ADDRESS(expenses_min_row,COLUMN()) &amp;":"&amp; ADDRESS(expenses_max_row,COLUMN())))</f>
        <v>0</v>
      </c>
      <c r="EG41" s="18" cm="1">
        <f t="array" aca="1" ref="EG41" ca="1">SUM(INDIRECT(ADDRESS(expenses_min_row,COLUMN()) &amp;":"&amp; ADDRESS(expenses_max_row,COLUMN())))</f>
        <v>0</v>
      </c>
      <c r="EH41" s="18" cm="1">
        <f t="array" aca="1" ref="EH41" ca="1">SUM(INDIRECT(ADDRESS(expenses_min_row,COLUMN()) &amp;":"&amp; ADDRESS(expenses_max_row,COLUMN())))</f>
        <v>0</v>
      </c>
      <c r="EI41" s="18" cm="1">
        <f t="array" aca="1" ref="EI41" ca="1">SUM(INDIRECT(ADDRESS(expenses_min_row,COLUMN()) &amp;":"&amp; ADDRESS(expenses_max_row,COLUMN())))</f>
        <v>0</v>
      </c>
      <c r="EJ41" s="18" cm="1">
        <f t="array" aca="1" ref="EJ41" ca="1">SUM(INDIRECT(ADDRESS(expenses_min_row,COLUMN()) &amp;":"&amp; ADDRESS(expenses_max_row,COLUMN())))</f>
        <v>0</v>
      </c>
      <c r="EK41" s="18" cm="1">
        <f t="array" aca="1" ref="EK41" ca="1">SUM(INDIRECT(ADDRESS(expenses_min_row,COLUMN()) &amp;":"&amp; ADDRESS(expenses_max_row,COLUMN())))</f>
        <v>0</v>
      </c>
      <c r="EL41" s="18" cm="1">
        <f t="array" aca="1" ref="EL41" ca="1">SUM(INDIRECT(ADDRESS(expenses_min_row,COLUMN()) &amp;":"&amp; ADDRESS(expenses_max_row,COLUMN())))</f>
        <v>0</v>
      </c>
      <c r="EM41" s="18" cm="1">
        <f t="array" aca="1" ref="EM41" ca="1">SUM(INDIRECT(ADDRESS(expenses_min_row,COLUMN()) &amp;":"&amp; ADDRESS(expenses_max_row,COLUMN())))</f>
        <v>0</v>
      </c>
      <c r="EO41" s="18" cm="1">
        <f t="array" aca="1" ref="EO41" ca="1">SUM(INDIRECT(ADDRESS(expenses_min_row,COLUMN()) &amp;":"&amp; ADDRESS(expenses_max_row,COLUMN())))</f>
        <v>0</v>
      </c>
      <c r="EP41" s="18" cm="1">
        <f t="array" aca="1" ref="EP41" ca="1">SUM(INDIRECT(ADDRESS(expenses_min_row,COLUMN()) &amp;":"&amp; ADDRESS(expenses_max_row,COLUMN())))</f>
        <v>0</v>
      </c>
      <c r="EQ41" s="18" cm="1">
        <f t="array" aca="1" ref="EQ41" ca="1">SUM(INDIRECT(ADDRESS(expenses_min_row,COLUMN()) &amp;":"&amp; ADDRESS(expenses_max_row,COLUMN())))</f>
        <v>0</v>
      </c>
      <c r="ER41" s="18" cm="1">
        <f t="array" aca="1" ref="ER41" ca="1">SUM(INDIRECT(ADDRESS(expenses_min_row,COLUMN()) &amp;":"&amp; ADDRESS(expenses_max_row,COLUMN())))</f>
        <v>0</v>
      </c>
      <c r="ES41" s="18" cm="1">
        <f t="array" aca="1" ref="ES41" ca="1">SUM(INDIRECT(ADDRESS(expenses_min_row,COLUMN()) &amp;":"&amp; ADDRESS(expenses_max_row,COLUMN())))</f>
        <v>0</v>
      </c>
      <c r="ET41" s="18" cm="1">
        <f t="array" aca="1" ref="ET41" ca="1">SUM(INDIRECT(ADDRESS(expenses_min_row,COLUMN()) &amp;":"&amp; ADDRESS(expenses_max_row,COLUMN())))</f>
        <v>0</v>
      </c>
      <c r="EU41" s="18" cm="1">
        <f t="array" aca="1" ref="EU41" ca="1">SUM(INDIRECT(ADDRESS(expenses_min_row,COLUMN()) &amp;":"&amp; ADDRESS(expenses_max_row,COLUMN())))</f>
        <v>0</v>
      </c>
      <c r="EV41" s="18" cm="1">
        <f t="array" aca="1" ref="EV41" ca="1">SUM(INDIRECT(ADDRESS(expenses_min_row,COLUMN()) &amp;":"&amp; ADDRESS(expenses_max_row,COLUMN())))</f>
        <v>0</v>
      </c>
      <c r="EW41" s="18" cm="1">
        <f t="array" aca="1" ref="EW41" ca="1">SUM(INDIRECT(ADDRESS(expenses_min_row,COLUMN()) &amp;":"&amp; ADDRESS(expenses_max_row,COLUMN())))</f>
        <v>0</v>
      </c>
      <c r="EX41" s="18" cm="1">
        <f t="array" aca="1" ref="EX41" ca="1">SUM(INDIRECT(ADDRESS(expenses_min_row,COLUMN()) &amp;":"&amp; ADDRESS(expenses_max_row,COLUMN())))</f>
        <v>0</v>
      </c>
      <c r="EY41" s="18" cm="1">
        <f t="array" aca="1" ref="EY41" ca="1">SUM(INDIRECT(ADDRESS(expenses_min_row,COLUMN()) &amp;":"&amp; ADDRESS(expenses_max_row,COLUMN())))</f>
        <v>0</v>
      </c>
      <c r="EZ41" s="18" cm="1">
        <f t="array" aca="1" ref="EZ41" ca="1">SUM(INDIRECT(ADDRESS(expenses_min_row,COLUMN()) &amp;":"&amp; ADDRESS(expenses_max_row,COLUMN())))</f>
        <v>0</v>
      </c>
      <c r="FA41" s="18" cm="1">
        <f t="array" aca="1" ref="FA41" ca="1">SUM(INDIRECT(ADDRESS(expenses_min_row,COLUMN()) &amp;":"&amp; ADDRESS(expenses_max_row,COLUMN())))</f>
        <v>0</v>
      </c>
    </row>
    <row r="43" spans="3:157" x14ac:dyDescent="0.25">
      <c r="C43" s="12" t="s">
        <v>18</v>
      </c>
      <c r="E43" s="22">
        <f>DATE(E$5,1,1)</f>
        <v>46023</v>
      </c>
      <c r="F43" s="22">
        <f>DATE(E$5,2,1)</f>
        <v>46054</v>
      </c>
      <c r="G43" s="22">
        <f>DATE(E$5,3,1)</f>
        <v>46082</v>
      </c>
      <c r="H43" s="22">
        <f>DATE(E$5,4,1)</f>
        <v>46113</v>
      </c>
      <c r="I43" s="22">
        <f>DATE(E$5,5,1)</f>
        <v>46143</v>
      </c>
      <c r="J43" s="22">
        <f>DATE(E$5,6,1)</f>
        <v>46174</v>
      </c>
      <c r="K43" s="22">
        <f>DATE(E$5,7,1)</f>
        <v>46204</v>
      </c>
      <c r="L43" s="22">
        <f>DATE(E$5,8,1)</f>
        <v>46235</v>
      </c>
      <c r="M43" s="22">
        <f>DATE(E$5,9,1)</f>
        <v>46266</v>
      </c>
      <c r="N43" s="22">
        <f>DATE(E$5,10,1)</f>
        <v>46296</v>
      </c>
      <c r="O43" s="22">
        <f>DATE(E$5,11,1)</f>
        <v>46327</v>
      </c>
      <c r="P43" s="22">
        <f>DATE(E$5,12,1)</f>
        <v>46357</v>
      </c>
      <c r="Q43" s="23">
        <f>E$5</f>
        <v>2026</v>
      </c>
      <c r="S43" s="22">
        <f>DATE(S$5,1,1)</f>
        <v>46388</v>
      </c>
      <c r="T43" s="22">
        <f>DATE(S$5,2,1)</f>
        <v>46419</v>
      </c>
      <c r="U43" s="22">
        <f>DATE(S$5,3,1)</f>
        <v>46447</v>
      </c>
      <c r="V43" s="22">
        <f>DATE(S$5,4,1)</f>
        <v>46478</v>
      </c>
      <c r="W43" s="22">
        <f>DATE(S$5,5,1)</f>
        <v>46508</v>
      </c>
      <c r="X43" s="22">
        <f>DATE(S$5,6,1)</f>
        <v>46539</v>
      </c>
      <c r="Y43" s="22">
        <f>DATE(S$5,7,1)</f>
        <v>46569</v>
      </c>
      <c r="Z43" s="22">
        <f>DATE(S$5,8,1)</f>
        <v>46600</v>
      </c>
      <c r="AA43" s="22">
        <f>DATE(S$5,9,1)</f>
        <v>46631</v>
      </c>
      <c r="AB43" s="22">
        <f>DATE(S$5,10,1)</f>
        <v>46661</v>
      </c>
      <c r="AC43" s="22">
        <f>DATE(S$5,11,1)</f>
        <v>46692</v>
      </c>
      <c r="AD43" s="22">
        <f>DATE(S$5,12,1)</f>
        <v>46722</v>
      </c>
      <c r="AE43" s="23">
        <f>S$5</f>
        <v>2027</v>
      </c>
      <c r="AG43" s="22">
        <f>DATE(AG$5,1,1)</f>
        <v>46753</v>
      </c>
      <c r="AH43" s="22">
        <f>DATE(AG$5,2,1)</f>
        <v>46784</v>
      </c>
      <c r="AI43" s="22">
        <f>DATE(AG$5,3,1)</f>
        <v>46813</v>
      </c>
      <c r="AJ43" s="22">
        <f>DATE(AG$5,4,1)</f>
        <v>46844</v>
      </c>
      <c r="AK43" s="22">
        <f>DATE(AG$5,5,1)</f>
        <v>46874</v>
      </c>
      <c r="AL43" s="22">
        <f>DATE(AG$5,6,1)</f>
        <v>46905</v>
      </c>
      <c r="AM43" s="22">
        <f>DATE(AG$5,7,1)</f>
        <v>46935</v>
      </c>
      <c r="AN43" s="22">
        <f>DATE(AG$5,8,1)</f>
        <v>46966</v>
      </c>
      <c r="AO43" s="22">
        <f>DATE(AG$5,9,1)</f>
        <v>46997</v>
      </c>
      <c r="AP43" s="22">
        <f>DATE(AG$5,10,1)</f>
        <v>47027</v>
      </c>
      <c r="AQ43" s="22">
        <f>DATE(AG$5,11,1)</f>
        <v>47058</v>
      </c>
      <c r="AR43" s="22">
        <f>DATE(AG$5,12,1)</f>
        <v>47088</v>
      </c>
      <c r="AS43" s="23">
        <f>AG$5</f>
        <v>2028</v>
      </c>
      <c r="AU43" s="22">
        <f>DATE(AU$5,1,1)</f>
        <v>47119</v>
      </c>
      <c r="AV43" s="22">
        <f>DATE(AU$5,2,1)</f>
        <v>47150</v>
      </c>
      <c r="AW43" s="22">
        <f>DATE(AU$5,3,1)</f>
        <v>47178</v>
      </c>
      <c r="AX43" s="22">
        <f>DATE(AU$5,4,1)</f>
        <v>47209</v>
      </c>
      <c r="AY43" s="22">
        <f>DATE(AU$5,5,1)</f>
        <v>47239</v>
      </c>
      <c r="AZ43" s="22">
        <f>DATE(AU$5,6,1)</f>
        <v>47270</v>
      </c>
      <c r="BA43" s="22">
        <f>DATE(AU$5,7,1)</f>
        <v>47300</v>
      </c>
      <c r="BB43" s="22">
        <f>DATE(AU$5,8,1)</f>
        <v>47331</v>
      </c>
      <c r="BC43" s="22">
        <f>DATE(AU$5,9,1)</f>
        <v>47362</v>
      </c>
      <c r="BD43" s="22">
        <f>DATE(AU$5,10,1)</f>
        <v>47392</v>
      </c>
      <c r="BE43" s="22">
        <f>DATE(AU$5,11,1)</f>
        <v>47423</v>
      </c>
      <c r="BF43" s="22">
        <f>DATE(AU$5,12,1)</f>
        <v>47453</v>
      </c>
      <c r="BG43" s="23">
        <f>AU$5</f>
        <v>2029</v>
      </c>
      <c r="BI43" s="22">
        <f>DATE(BI$5,1,1)</f>
        <v>47484</v>
      </c>
      <c r="BJ43" s="22">
        <f>DATE(BI$5,2,1)</f>
        <v>47515</v>
      </c>
      <c r="BK43" s="22">
        <f>DATE(BI$5,3,1)</f>
        <v>47543</v>
      </c>
      <c r="BL43" s="22">
        <f>DATE(BI$5,4,1)</f>
        <v>47574</v>
      </c>
      <c r="BM43" s="22">
        <f>DATE(BI$5,5,1)</f>
        <v>47604</v>
      </c>
      <c r="BN43" s="22">
        <f>DATE(BI$5,6,1)</f>
        <v>47635</v>
      </c>
      <c r="BO43" s="22">
        <f>DATE(BI$5,7,1)</f>
        <v>47665</v>
      </c>
      <c r="BP43" s="22">
        <f>DATE(BI$5,8,1)</f>
        <v>47696</v>
      </c>
      <c r="BQ43" s="22">
        <f>DATE(BI$5,9,1)</f>
        <v>47727</v>
      </c>
      <c r="BR43" s="22">
        <f>DATE(BI$5,10,1)</f>
        <v>47757</v>
      </c>
      <c r="BS43" s="22">
        <f>DATE(BI$5,11,1)</f>
        <v>47788</v>
      </c>
      <c r="BT43" s="22">
        <f>DATE(BI$5,12,1)</f>
        <v>47818</v>
      </c>
      <c r="BU43" s="23">
        <f>BI$5</f>
        <v>2030</v>
      </c>
      <c r="BW43" s="22">
        <f>DATE(BW$5,1,1)</f>
        <v>47849</v>
      </c>
      <c r="BX43" s="22">
        <f>DATE(BW$5,2,1)</f>
        <v>47880</v>
      </c>
      <c r="BY43" s="22">
        <f>DATE(BW$5,3,1)</f>
        <v>47908</v>
      </c>
      <c r="BZ43" s="22">
        <f>DATE(BW$5,4,1)</f>
        <v>47939</v>
      </c>
      <c r="CA43" s="22">
        <f>DATE(BW$5,5,1)</f>
        <v>47969</v>
      </c>
      <c r="CB43" s="22">
        <f>DATE(BW$5,6,1)</f>
        <v>48000</v>
      </c>
      <c r="CC43" s="22">
        <f>DATE(BW$5,7,1)</f>
        <v>48030</v>
      </c>
      <c r="CD43" s="22">
        <f>DATE(BW$5,8,1)</f>
        <v>48061</v>
      </c>
      <c r="CE43" s="22">
        <f>DATE(BW$5,9,1)</f>
        <v>48092</v>
      </c>
      <c r="CF43" s="22">
        <f>DATE(BW$5,10,1)</f>
        <v>48122</v>
      </c>
      <c r="CG43" s="22">
        <f>DATE(BW$5,11,1)</f>
        <v>48153</v>
      </c>
      <c r="CH43" s="22">
        <f>DATE(BW$5,12,1)</f>
        <v>48183</v>
      </c>
      <c r="CI43" s="23">
        <f>BW$5</f>
        <v>2031</v>
      </c>
      <c r="CK43" s="22">
        <f>DATE(CK$5,1,1)</f>
        <v>48214</v>
      </c>
      <c r="CL43" s="22">
        <f>DATE(CK$5,2,1)</f>
        <v>48245</v>
      </c>
      <c r="CM43" s="22">
        <f>DATE(CK$5,3,1)</f>
        <v>48274</v>
      </c>
      <c r="CN43" s="22">
        <f>DATE(CK$5,4,1)</f>
        <v>48305</v>
      </c>
      <c r="CO43" s="22">
        <f>DATE(CK$5,5,1)</f>
        <v>48335</v>
      </c>
      <c r="CP43" s="22">
        <f>DATE(CK$5,6,1)</f>
        <v>48366</v>
      </c>
      <c r="CQ43" s="22">
        <f>DATE(CK$5,7,1)</f>
        <v>48396</v>
      </c>
      <c r="CR43" s="22">
        <f>DATE(CK$5,8,1)</f>
        <v>48427</v>
      </c>
      <c r="CS43" s="22">
        <f>DATE(CK$5,9,1)</f>
        <v>48458</v>
      </c>
      <c r="CT43" s="22">
        <f>DATE(CK$5,10,1)</f>
        <v>48488</v>
      </c>
      <c r="CU43" s="22">
        <f>DATE(CK$5,11,1)</f>
        <v>48519</v>
      </c>
      <c r="CV43" s="22">
        <f>DATE(CK$5,12,1)</f>
        <v>48549</v>
      </c>
      <c r="CW43" s="23">
        <f>CK$5</f>
        <v>2032</v>
      </c>
      <c r="CY43" s="22">
        <f>DATE(CY$5,1,1)</f>
        <v>48580</v>
      </c>
      <c r="CZ43" s="22">
        <f>DATE(CY$5,2,1)</f>
        <v>48611</v>
      </c>
      <c r="DA43" s="22">
        <f>DATE(CY$5,3,1)</f>
        <v>48639</v>
      </c>
      <c r="DB43" s="22">
        <f>DATE(CY$5,4,1)</f>
        <v>48670</v>
      </c>
      <c r="DC43" s="22">
        <f>DATE(CY$5,5,1)</f>
        <v>48700</v>
      </c>
      <c r="DD43" s="22">
        <f>DATE(CY$5,6,1)</f>
        <v>48731</v>
      </c>
      <c r="DE43" s="22">
        <f>DATE(CY$5,7,1)</f>
        <v>48761</v>
      </c>
      <c r="DF43" s="22">
        <f>DATE(CY$5,8,1)</f>
        <v>48792</v>
      </c>
      <c r="DG43" s="22">
        <f>DATE(CY$5,9,1)</f>
        <v>48823</v>
      </c>
      <c r="DH43" s="22">
        <f>DATE(CY$5,10,1)</f>
        <v>48853</v>
      </c>
      <c r="DI43" s="22">
        <f>DATE(CY$5,11,1)</f>
        <v>48884</v>
      </c>
      <c r="DJ43" s="22">
        <f>DATE(CY$5,12,1)</f>
        <v>48914</v>
      </c>
      <c r="DK43" s="23">
        <f>CY$5</f>
        <v>2033</v>
      </c>
      <c r="DM43" s="22">
        <f>DATE(DM$5,1,1)</f>
        <v>48945</v>
      </c>
      <c r="DN43" s="22">
        <f>DATE(DM$5,2,1)</f>
        <v>48976</v>
      </c>
      <c r="DO43" s="22">
        <f>DATE(DM$5,3,1)</f>
        <v>49004</v>
      </c>
      <c r="DP43" s="22">
        <f>DATE(DM$5,4,1)</f>
        <v>49035</v>
      </c>
      <c r="DQ43" s="22">
        <f>DATE(DM$5,5,1)</f>
        <v>49065</v>
      </c>
      <c r="DR43" s="22">
        <f>DATE(DM$5,6,1)</f>
        <v>49096</v>
      </c>
      <c r="DS43" s="22">
        <f>DATE(DM$5,7,1)</f>
        <v>49126</v>
      </c>
      <c r="DT43" s="22">
        <f>DATE(DM$5,8,1)</f>
        <v>49157</v>
      </c>
      <c r="DU43" s="22">
        <f>DATE(DM$5,9,1)</f>
        <v>49188</v>
      </c>
      <c r="DV43" s="22">
        <f>DATE(DM$5,10,1)</f>
        <v>49218</v>
      </c>
      <c r="DW43" s="22">
        <f>DATE(DM$5,11,1)</f>
        <v>49249</v>
      </c>
      <c r="DX43" s="22">
        <f>DATE(DM$5,12,1)</f>
        <v>49279</v>
      </c>
      <c r="DY43" s="23">
        <f>DM$5</f>
        <v>2034</v>
      </c>
      <c r="EA43" s="22">
        <f>DATE(EA$5,1,1)</f>
        <v>49310</v>
      </c>
      <c r="EB43" s="22">
        <f>DATE(EA$5,2,1)</f>
        <v>49341</v>
      </c>
      <c r="EC43" s="22">
        <f>DATE(EA$5,3,1)</f>
        <v>49369</v>
      </c>
      <c r="ED43" s="22">
        <f>DATE(EA$5,4,1)</f>
        <v>49400</v>
      </c>
      <c r="EE43" s="22">
        <f>DATE(EA$5,5,1)</f>
        <v>49430</v>
      </c>
      <c r="EF43" s="22">
        <f>DATE(EA$5,6,1)</f>
        <v>49461</v>
      </c>
      <c r="EG43" s="22">
        <f>DATE(EA$5,7,1)</f>
        <v>49491</v>
      </c>
      <c r="EH43" s="22">
        <f>DATE(EA$5,8,1)</f>
        <v>49522</v>
      </c>
      <c r="EI43" s="22">
        <f>DATE(EA$5,9,1)</f>
        <v>49553</v>
      </c>
      <c r="EJ43" s="22">
        <f>DATE(EA$5,10,1)</f>
        <v>49583</v>
      </c>
      <c r="EK43" s="22">
        <f>DATE(EA$5,11,1)</f>
        <v>49614</v>
      </c>
      <c r="EL43" s="22">
        <f>DATE(EA$5,12,1)</f>
        <v>49644</v>
      </c>
      <c r="EM43" s="23">
        <f>EA$5</f>
        <v>2035</v>
      </c>
      <c r="EO43" s="22">
        <f>DATE(EO$5,1,1)</f>
        <v>49675</v>
      </c>
      <c r="EP43" s="22">
        <f>DATE(EO$5,2,1)</f>
        <v>49706</v>
      </c>
      <c r="EQ43" s="22">
        <f>DATE(EO$5,3,1)</f>
        <v>49735</v>
      </c>
      <c r="ER43" s="22">
        <f>DATE(EO$5,4,1)</f>
        <v>49766</v>
      </c>
      <c r="ES43" s="22">
        <f>DATE(EO$5,5,1)</f>
        <v>49796</v>
      </c>
      <c r="ET43" s="22">
        <f>DATE(EO$5,6,1)</f>
        <v>49827</v>
      </c>
      <c r="EU43" s="22">
        <f>DATE(EO$5,7,1)</f>
        <v>49857</v>
      </c>
      <c r="EV43" s="22">
        <f>DATE(EO$5,8,1)</f>
        <v>49888</v>
      </c>
      <c r="EW43" s="22">
        <f>DATE(EO$5,9,1)</f>
        <v>49919</v>
      </c>
      <c r="EX43" s="22">
        <f>DATE(EO$5,10,1)</f>
        <v>49949</v>
      </c>
      <c r="EY43" s="22">
        <f>DATE(EO$5,11,1)</f>
        <v>49980</v>
      </c>
      <c r="EZ43" s="22">
        <f>DATE(EO$5,12,1)</f>
        <v>50010</v>
      </c>
      <c r="FA43" s="23">
        <f>EO$5</f>
        <v>2036</v>
      </c>
    </row>
    <row r="44" spans="3:157" x14ac:dyDescent="0.25">
      <c r="C44" s="16" t="s">
        <v>19</v>
      </c>
      <c r="E44" s="17"/>
      <c r="F44" s="17">
        <v>25000</v>
      </c>
      <c r="G44" s="17">
        <v>25000</v>
      </c>
      <c r="H44" s="17">
        <v>25000</v>
      </c>
      <c r="I44" s="17">
        <v>25000</v>
      </c>
      <c r="J44" s="17">
        <v>25000</v>
      </c>
      <c r="K44" s="17">
        <v>25000</v>
      </c>
      <c r="L44" s="17">
        <v>25000</v>
      </c>
      <c r="M44" s="17">
        <v>25000</v>
      </c>
      <c r="N44" s="17">
        <v>25000</v>
      </c>
      <c r="O44" s="17">
        <v>25000</v>
      </c>
      <c r="P44" s="17">
        <v>25000</v>
      </c>
      <c r="Q44" s="19">
        <f>SUM(E44:P44)</f>
        <v>275000</v>
      </c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9">
        <f>SUM(S44:AD44)</f>
        <v>0</v>
      </c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9">
        <f>SUM(AG44:AR44)</f>
        <v>0</v>
      </c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9">
        <f>SUM(AU44:BF44)</f>
        <v>0</v>
      </c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9">
        <f>SUM(BI44:BT44)</f>
        <v>0</v>
      </c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9">
        <f>SUM(BW44:CH44)</f>
        <v>0</v>
      </c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9">
        <f>SUM(CK44:CV44)</f>
        <v>0</v>
      </c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9">
        <f>SUM(CY44:DJ44)</f>
        <v>0</v>
      </c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9">
        <f>SUM(DM44:DX44)</f>
        <v>0</v>
      </c>
      <c r="EA44" s="17"/>
      <c r="EB44" s="17"/>
      <c r="EC44" s="17"/>
      <c r="ED44" s="17"/>
      <c r="EE44" s="17"/>
      <c r="EF44" s="17"/>
      <c r="EG44" s="17"/>
      <c r="EH44" s="17"/>
      <c r="EI44" s="17"/>
      <c r="EJ44" s="17"/>
      <c r="EK44" s="17"/>
      <c r="EL44" s="17"/>
      <c r="EM44" s="19">
        <f>SUM(EA44:EL44)</f>
        <v>0</v>
      </c>
      <c r="EO44" s="17"/>
      <c r="EP44" s="17"/>
      <c r="EQ44" s="17"/>
      <c r="ER44" s="17"/>
      <c r="ES44" s="17"/>
      <c r="ET44" s="17"/>
      <c r="EU44" s="17"/>
      <c r="EV44" s="17"/>
      <c r="EW44" s="17"/>
      <c r="EX44" s="17"/>
      <c r="EY44" s="17"/>
      <c r="EZ44" s="17"/>
      <c r="FA44" s="19">
        <f>SUM(EO44:EZ44)</f>
        <v>0</v>
      </c>
    </row>
    <row r="45" spans="3:157" x14ac:dyDescent="0.25">
      <c r="C45" s="16" t="s">
        <v>20</v>
      </c>
      <c r="E45" s="17">
        <v>3000</v>
      </c>
      <c r="F45" s="17">
        <v>10000</v>
      </c>
      <c r="G45" s="17">
        <v>10000</v>
      </c>
      <c r="H45" s="17">
        <v>10000</v>
      </c>
      <c r="I45" s="17">
        <v>10000</v>
      </c>
      <c r="J45" s="17">
        <v>10000</v>
      </c>
      <c r="K45" s="17">
        <v>10000</v>
      </c>
      <c r="L45" s="17">
        <v>10000</v>
      </c>
      <c r="M45" s="17">
        <v>10000</v>
      </c>
      <c r="N45" s="17">
        <v>10000</v>
      </c>
      <c r="O45" s="17">
        <v>10000</v>
      </c>
      <c r="P45" s="17">
        <v>10000</v>
      </c>
      <c r="Q45" s="19">
        <f t="shared" ref="Q45:Q57" si="33">SUM(E45:P45)</f>
        <v>113000</v>
      </c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9">
        <f t="shared" ref="AE45:AE57" si="34">SUM(S45:AD45)</f>
        <v>0</v>
      </c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9">
        <f t="shared" ref="AS45:AS57" si="35">SUM(AG45:AR45)</f>
        <v>0</v>
      </c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9">
        <f t="shared" ref="BG45:BG57" si="36">SUM(AU45:BF45)</f>
        <v>0</v>
      </c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9">
        <f t="shared" ref="BU45:BU57" si="37">SUM(BI45:BT45)</f>
        <v>0</v>
      </c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9">
        <f t="shared" ref="CI45:CI57" si="38">SUM(BW45:CH45)</f>
        <v>0</v>
      </c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9">
        <f t="shared" ref="CW45:CW57" si="39">SUM(CK45:CV45)</f>
        <v>0</v>
      </c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9">
        <f t="shared" ref="DK45:DK57" si="40">SUM(CY45:DJ45)</f>
        <v>0</v>
      </c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9">
        <f t="shared" ref="DY45:DY57" si="41">SUM(DM45:DX45)</f>
        <v>0</v>
      </c>
      <c r="EA45" s="17"/>
      <c r="EB45" s="17"/>
      <c r="EC45" s="17"/>
      <c r="ED45" s="17"/>
      <c r="EE45" s="17"/>
      <c r="EF45" s="17"/>
      <c r="EG45" s="17"/>
      <c r="EH45" s="17"/>
      <c r="EI45" s="17"/>
      <c r="EJ45" s="17"/>
      <c r="EK45" s="17"/>
      <c r="EL45" s="17"/>
      <c r="EM45" s="19">
        <f t="shared" ref="EM45:EM57" si="42">SUM(EA45:EL45)</f>
        <v>0</v>
      </c>
      <c r="EO45" s="17"/>
      <c r="EP45" s="17"/>
      <c r="EQ45" s="17"/>
      <c r="ER45" s="17"/>
      <c r="ES45" s="17"/>
      <c r="ET45" s="17"/>
      <c r="EU45" s="17"/>
      <c r="EV45" s="17"/>
      <c r="EW45" s="17"/>
      <c r="EX45" s="17"/>
      <c r="EY45" s="17"/>
      <c r="EZ45" s="17"/>
      <c r="FA45" s="19">
        <f t="shared" ref="FA45:FA57" si="43">SUM(EO45:EZ45)</f>
        <v>0</v>
      </c>
    </row>
    <row r="46" spans="3:157" x14ac:dyDescent="0.25">
      <c r="C46" s="16" t="s">
        <v>21</v>
      </c>
      <c r="E46" s="17"/>
      <c r="F46" s="17">
        <v>8686</v>
      </c>
      <c r="G46" s="17">
        <v>10000</v>
      </c>
      <c r="H46" s="17">
        <v>7500</v>
      </c>
      <c r="I46" s="17">
        <v>2000</v>
      </c>
      <c r="J46" s="17">
        <v>5000</v>
      </c>
      <c r="K46" s="17"/>
      <c r="L46" s="17">
        <v>3000</v>
      </c>
      <c r="M46" s="17">
        <v>4000</v>
      </c>
      <c r="N46" s="17">
        <v>20000</v>
      </c>
      <c r="O46" s="17">
        <v>35000</v>
      </c>
      <c r="P46" s="17">
        <v>25000</v>
      </c>
      <c r="Q46" s="19">
        <f t="shared" si="33"/>
        <v>120186</v>
      </c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9">
        <f t="shared" si="34"/>
        <v>0</v>
      </c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9">
        <f t="shared" si="35"/>
        <v>0</v>
      </c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9">
        <f t="shared" si="36"/>
        <v>0</v>
      </c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9">
        <f t="shared" si="37"/>
        <v>0</v>
      </c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9">
        <f t="shared" si="38"/>
        <v>0</v>
      </c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9">
        <f t="shared" si="39"/>
        <v>0</v>
      </c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9">
        <f t="shared" si="40"/>
        <v>0</v>
      </c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9">
        <f t="shared" si="41"/>
        <v>0</v>
      </c>
      <c r="EA46" s="17"/>
      <c r="EB46" s="17"/>
      <c r="EC46" s="17"/>
      <c r="ED46" s="17"/>
      <c r="EE46" s="17"/>
      <c r="EF46" s="17"/>
      <c r="EG46" s="17"/>
      <c r="EH46" s="17"/>
      <c r="EI46" s="17"/>
      <c r="EJ46" s="17"/>
      <c r="EK46" s="17"/>
      <c r="EL46" s="17"/>
      <c r="EM46" s="19">
        <f t="shared" si="42"/>
        <v>0</v>
      </c>
      <c r="EO46" s="17"/>
      <c r="EP46" s="17"/>
      <c r="EQ46" s="17"/>
      <c r="ER46" s="17"/>
      <c r="ES46" s="17"/>
      <c r="ET46" s="17"/>
      <c r="EU46" s="17"/>
      <c r="EV46" s="17"/>
      <c r="EW46" s="17"/>
      <c r="EX46" s="17"/>
      <c r="EY46" s="17"/>
      <c r="EZ46" s="17"/>
      <c r="FA46" s="19">
        <f t="shared" si="43"/>
        <v>0</v>
      </c>
    </row>
    <row r="47" spans="3:157" x14ac:dyDescent="0.25">
      <c r="C47" s="16" t="s">
        <v>22</v>
      </c>
      <c r="E47" s="17"/>
      <c r="F47" s="17">
        <v>2500</v>
      </c>
      <c r="G47" s="17">
        <v>7638</v>
      </c>
      <c r="H47" s="17">
        <v>3281</v>
      </c>
      <c r="I47" s="17">
        <v>335</v>
      </c>
      <c r="J47" s="17">
        <v>2785</v>
      </c>
      <c r="K47" s="17">
        <v>818</v>
      </c>
      <c r="L47" s="17">
        <v>2395</v>
      </c>
      <c r="M47" s="17">
        <v>2415</v>
      </c>
      <c r="N47" s="17">
        <v>3877</v>
      </c>
      <c r="O47" s="17">
        <v>5091</v>
      </c>
      <c r="P47" s="17">
        <v>10224</v>
      </c>
      <c r="Q47" s="19">
        <f t="shared" si="33"/>
        <v>41359</v>
      </c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9">
        <f t="shared" si="34"/>
        <v>0</v>
      </c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9">
        <f t="shared" si="35"/>
        <v>0</v>
      </c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9">
        <f t="shared" si="36"/>
        <v>0</v>
      </c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9">
        <f t="shared" si="37"/>
        <v>0</v>
      </c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9">
        <f t="shared" si="38"/>
        <v>0</v>
      </c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9">
        <f t="shared" si="39"/>
        <v>0</v>
      </c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9">
        <f t="shared" si="40"/>
        <v>0</v>
      </c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9">
        <f t="shared" si="41"/>
        <v>0</v>
      </c>
      <c r="EA47" s="17"/>
      <c r="EB47" s="17"/>
      <c r="EC47" s="17"/>
      <c r="ED47" s="17"/>
      <c r="EE47" s="17"/>
      <c r="EF47" s="17"/>
      <c r="EG47" s="17"/>
      <c r="EH47" s="17"/>
      <c r="EI47" s="17"/>
      <c r="EJ47" s="17"/>
      <c r="EK47" s="17"/>
      <c r="EL47" s="17"/>
      <c r="EM47" s="19">
        <f t="shared" si="42"/>
        <v>0</v>
      </c>
      <c r="EO47" s="17"/>
      <c r="EP47" s="17"/>
      <c r="EQ47" s="17"/>
      <c r="ER47" s="17"/>
      <c r="ES47" s="17"/>
      <c r="ET47" s="17"/>
      <c r="EU47" s="17"/>
      <c r="EV47" s="17"/>
      <c r="EW47" s="17"/>
      <c r="EX47" s="17"/>
      <c r="EY47" s="17"/>
      <c r="EZ47" s="17"/>
      <c r="FA47" s="19">
        <f t="shared" si="43"/>
        <v>0</v>
      </c>
    </row>
    <row r="48" spans="3:157" x14ac:dyDescent="0.25">
      <c r="C48" s="16" t="s">
        <v>23</v>
      </c>
      <c r="E48" s="17"/>
      <c r="F48" s="17">
        <v>0</v>
      </c>
      <c r="G48" s="17">
        <v>5000</v>
      </c>
      <c r="H48" s="17">
        <v>0</v>
      </c>
      <c r="I48" s="17">
        <v>0</v>
      </c>
      <c r="J48" s="17">
        <v>0</v>
      </c>
      <c r="K48" s="17">
        <v>0</v>
      </c>
      <c r="L48" s="17"/>
      <c r="M48" s="17">
        <v>8000</v>
      </c>
      <c r="N48" s="17">
        <v>10000</v>
      </c>
      <c r="O48" s="17">
        <v>10000</v>
      </c>
      <c r="P48" s="17">
        <v>0</v>
      </c>
      <c r="Q48" s="19">
        <f t="shared" si="33"/>
        <v>33000</v>
      </c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9">
        <f t="shared" si="34"/>
        <v>0</v>
      </c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9">
        <f t="shared" si="35"/>
        <v>0</v>
      </c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9">
        <f t="shared" si="36"/>
        <v>0</v>
      </c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9">
        <f t="shared" si="37"/>
        <v>0</v>
      </c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9">
        <f t="shared" si="38"/>
        <v>0</v>
      </c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9">
        <f t="shared" si="39"/>
        <v>0</v>
      </c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9">
        <f t="shared" si="40"/>
        <v>0</v>
      </c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9">
        <f t="shared" si="41"/>
        <v>0</v>
      </c>
      <c r="EA48" s="17"/>
      <c r="EB48" s="17"/>
      <c r="EC48" s="17"/>
      <c r="ED48" s="17"/>
      <c r="EE48" s="17"/>
      <c r="EF48" s="17"/>
      <c r="EG48" s="17"/>
      <c r="EH48" s="17"/>
      <c r="EI48" s="17"/>
      <c r="EJ48" s="17"/>
      <c r="EK48" s="17"/>
      <c r="EL48" s="17"/>
      <c r="EM48" s="19">
        <f t="shared" si="42"/>
        <v>0</v>
      </c>
      <c r="EO48" s="17"/>
      <c r="EP48" s="17"/>
      <c r="EQ48" s="17"/>
      <c r="ER48" s="17"/>
      <c r="ES48" s="17"/>
      <c r="ET48" s="17"/>
      <c r="EU48" s="17"/>
      <c r="EV48" s="17"/>
      <c r="EW48" s="17"/>
      <c r="EX48" s="17"/>
      <c r="EY48" s="17"/>
      <c r="EZ48" s="17"/>
      <c r="FA48" s="19">
        <f t="shared" si="43"/>
        <v>0</v>
      </c>
    </row>
    <row r="49" spans="3:157" x14ac:dyDescent="0.25">
      <c r="C49" s="16" t="s">
        <v>32</v>
      </c>
      <c r="E49" s="17"/>
      <c r="F49" s="17">
        <v>5000</v>
      </c>
      <c r="G49" s="17">
        <v>5000</v>
      </c>
      <c r="H49" s="17">
        <v>2500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9">
        <f t="shared" si="33"/>
        <v>12500</v>
      </c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9">
        <f t="shared" si="34"/>
        <v>0</v>
      </c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9">
        <f t="shared" si="35"/>
        <v>0</v>
      </c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9">
        <f t="shared" si="36"/>
        <v>0</v>
      </c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9">
        <f t="shared" si="37"/>
        <v>0</v>
      </c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9">
        <f t="shared" si="38"/>
        <v>0</v>
      </c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9">
        <f t="shared" si="39"/>
        <v>0</v>
      </c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9">
        <f t="shared" si="40"/>
        <v>0</v>
      </c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9">
        <f t="shared" si="41"/>
        <v>0</v>
      </c>
      <c r="EA49" s="17"/>
      <c r="EB49" s="17"/>
      <c r="EC49" s="17"/>
      <c r="ED49" s="17"/>
      <c r="EE49" s="17"/>
      <c r="EF49" s="17"/>
      <c r="EG49" s="17"/>
      <c r="EH49" s="17"/>
      <c r="EI49" s="17"/>
      <c r="EJ49" s="17"/>
      <c r="EK49" s="17"/>
      <c r="EL49" s="17"/>
      <c r="EM49" s="19">
        <f t="shared" si="42"/>
        <v>0</v>
      </c>
      <c r="EO49" s="17"/>
      <c r="EP49" s="17"/>
      <c r="EQ49" s="17"/>
      <c r="ER49" s="17"/>
      <c r="ES49" s="17"/>
      <c r="ET49" s="17"/>
      <c r="EU49" s="17"/>
      <c r="EV49" s="17"/>
      <c r="EW49" s="17"/>
      <c r="EX49" s="17"/>
      <c r="EY49" s="17"/>
      <c r="EZ49" s="17"/>
      <c r="FA49" s="19">
        <f t="shared" si="43"/>
        <v>0</v>
      </c>
    </row>
    <row r="50" spans="3:157" x14ac:dyDescent="0.25">
      <c r="C50" s="16" t="s">
        <v>33</v>
      </c>
      <c r="E50" s="17"/>
      <c r="F50" s="17">
        <v>2500</v>
      </c>
      <c r="G50" s="17">
        <v>2500</v>
      </c>
      <c r="H50" s="17">
        <v>2500</v>
      </c>
      <c r="I50" s="17">
        <v>10000</v>
      </c>
      <c r="J50" s="17">
        <v>10000</v>
      </c>
      <c r="K50" s="17">
        <v>22500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9">
        <f t="shared" si="33"/>
        <v>50000</v>
      </c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9">
        <f t="shared" si="34"/>
        <v>0</v>
      </c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9">
        <f t="shared" si="35"/>
        <v>0</v>
      </c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9">
        <f t="shared" si="36"/>
        <v>0</v>
      </c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9">
        <f t="shared" si="37"/>
        <v>0</v>
      </c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9">
        <f t="shared" si="38"/>
        <v>0</v>
      </c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9">
        <f t="shared" si="39"/>
        <v>0</v>
      </c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9">
        <f t="shared" si="40"/>
        <v>0</v>
      </c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9">
        <f t="shared" si="41"/>
        <v>0</v>
      </c>
      <c r="EA50" s="17"/>
      <c r="EB50" s="17"/>
      <c r="EC50" s="17"/>
      <c r="ED50" s="17"/>
      <c r="EE50" s="17"/>
      <c r="EF50" s="17"/>
      <c r="EG50" s="17"/>
      <c r="EH50" s="17"/>
      <c r="EI50" s="17"/>
      <c r="EJ50" s="17"/>
      <c r="EK50" s="17"/>
      <c r="EL50" s="17"/>
      <c r="EM50" s="19">
        <f t="shared" si="42"/>
        <v>0</v>
      </c>
      <c r="EO50" s="17"/>
      <c r="EP50" s="17"/>
      <c r="EQ50" s="17"/>
      <c r="ER50" s="17"/>
      <c r="ES50" s="17"/>
      <c r="ET50" s="17"/>
      <c r="EU50" s="17"/>
      <c r="EV50" s="17"/>
      <c r="EW50" s="17"/>
      <c r="EX50" s="17"/>
      <c r="EY50" s="17"/>
      <c r="EZ50" s="17"/>
      <c r="FA50" s="19">
        <f t="shared" si="43"/>
        <v>0</v>
      </c>
    </row>
    <row r="51" spans="3:157" x14ac:dyDescent="0.25">
      <c r="C51" s="16" t="s">
        <v>34</v>
      </c>
      <c r="E51" s="17"/>
      <c r="F51" s="17">
        <v>2500</v>
      </c>
      <c r="G51" s="17">
        <v>2500</v>
      </c>
      <c r="H51" s="17">
        <v>2500</v>
      </c>
      <c r="I51" s="17">
        <v>5000</v>
      </c>
      <c r="J51" s="17">
        <v>5000</v>
      </c>
      <c r="K51" s="17">
        <v>5000</v>
      </c>
      <c r="L51" s="17">
        <v>32500</v>
      </c>
      <c r="M51" s="17">
        <v>10000</v>
      </c>
      <c r="N51" s="17">
        <v>0</v>
      </c>
      <c r="O51" s="17">
        <v>0</v>
      </c>
      <c r="P51" s="17">
        <v>0</v>
      </c>
      <c r="Q51" s="19">
        <f t="shared" si="33"/>
        <v>65000</v>
      </c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9">
        <f t="shared" si="34"/>
        <v>0</v>
      </c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9">
        <f t="shared" si="35"/>
        <v>0</v>
      </c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9">
        <f t="shared" si="36"/>
        <v>0</v>
      </c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9">
        <f t="shared" si="37"/>
        <v>0</v>
      </c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9">
        <f t="shared" si="38"/>
        <v>0</v>
      </c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9">
        <f t="shared" si="39"/>
        <v>0</v>
      </c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9">
        <f t="shared" si="40"/>
        <v>0</v>
      </c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9">
        <f t="shared" si="41"/>
        <v>0</v>
      </c>
      <c r="EA51" s="17"/>
      <c r="EB51" s="17"/>
      <c r="EC51" s="17"/>
      <c r="ED51" s="17"/>
      <c r="EE51" s="17"/>
      <c r="EF51" s="17"/>
      <c r="EG51" s="17"/>
      <c r="EH51" s="17"/>
      <c r="EI51" s="17"/>
      <c r="EJ51" s="17"/>
      <c r="EK51" s="17"/>
      <c r="EL51" s="17"/>
      <c r="EM51" s="19">
        <f t="shared" si="42"/>
        <v>0</v>
      </c>
      <c r="EO51" s="17"/>
      <c r="EP51" s="17"/>
      <c r="EQ51" s="17"/>
      <c r="ER51" s="17"/>
      <c r="ES51" s="17"/>
      <c r="ET51" s="17"/>
      <c r="EU51" s="17"/>
      <c r="EV51" s="17"/>
      <c r="EW51" s="17"/>
      <c r="EX51" s="17"/>
      <c r="EY51" s="17"/>
      <c r="EZ51" s="17"/>
      <c r="FA51" s="19">
        <f t="shared" si="43"/>
        <v>0</v>
      </c>
    </row>
    <row r="52" spans="3:157" x14ac:dyDescent="0.25">
      <c r="C52" s="16" t="s">
        <v>35</v>
      </c>
      <c r="E52" s="17"/>
      <c r="F52" s="17">
        <v>2500</v>
      </c>
      <c r="G52" s="17">
        <v>2500</v>
      </c>
      <c r="H52" s="17">
        <v>2500</v>
      </c>
      <c r="I52" s="17">
        <v>5000</v>
      </c>
      <c r="J52" s="17">
        <v>5000</v>
      </c>
      <c r="K52" s="17">
        <v>5000</v>
      </c>
      <c r="L52" s="17">
        <v>5000</v>
      </c>
      <c r="M52" s="17">
        <v>20000</v>
      </c>
      <c r="N52" s="17">
        <v>20000</v>
      </c>
      <c r="O52" s="17">
        <v>7500</v>
      </c>
      <c r="P52" s="17">
        <v>15000</v>
      </c>
      <c r="Q52" s="19">
        <f t="shared" si="33"/>
        <v>90000</v>
      </c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9">
        <f t="shared" si="34"/>
        <v>0</v>
      </c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9">
        <f t="shared" si="35"/>
        <v>0</v>
      </c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9">
        <f t="shared" si="36"/>
        <v>0</v>
      </c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9">
        <f t="shared" si="37"/>
        <v>0</v>
      </c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9">
        <f t="shared" si="38"/>
        <v>0</v>
      </c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9">
        <f t="shared" si="39"/>
        <v>0</v>
      </c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9">
        <f t="shared" si="40"/>
        <v>0</v>
      </c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9">
        <f t="shared" si="41"/>
        <v>0</v>
      </c>
      <c r="EA52" s="17"/>
      <c r="EB52" s="17"/>
      <c r="EC52" s="17"/>
      <c r="ED52" s="17"/>
      <c r="EE52" s="17"/>
      <c r="EF52" s="17"/>
      <c r="EG52" s="17"/>
      <c r="EH52" s="17"/>
      <c r="EI52" s="17"/>
      <c r="EJ52" s="17"/>
      <c r="EK52" s="17"/>
      <c r="EL52" s="17"/>
      <c r="EM52" s="19">
        <f t="shared" si="42"/>
        <v>0</v>
      </c>
      <c r="EO52" s="17"/>
      <c r="EP52" s="17"/>
      <c r="EQ52" s="17"/>
      <c r="ER52" s="17"/>
      <c r="ES52" s="17"/>
      <c r="ET52" s="17"/>
      <c r="EU52" s="17"/>
      <c r="EV52" s="17"/>
      <c r="EW52" s="17"/>
      <c r="EX52" s="17"/>
      <c r="EY52" s="17"/>
      <c r="EZ52" s="17"/>
      <c r="FA52" s="19">
        <f t="shared" si="43"/>
        <v>0</v>
      </c>
    </row>
    <row r="53" spans="3:157" hidden="1" x14ac:dyDescent="0.25">
      <c r="C53" s="16" t="s">
        <v>24</v>
      </c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9">
        <f t="shared" si="33"/>
        <v>0</v>
      </c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9">
        <f t="shared" si="34"/>
        <v>0</v>
      </c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9">
        <f t="shared" si="35"/>
        <v>0</v>
      </c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9">
        <f t="shared" si="36"/>
        <v>0</v>
      </c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9">
        <f t="shared" si="37"/>
        <v>0</v>
      </c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9">
        <f t="shared" si="38"/>
        <v>0</v>
      </c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9">
        <f t="shared" si="39"/>
        <v>0</v>
      </c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9">
        <f t="shared" si="40"/>
        <v>0</v>
      </c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9">
        <f t="shared" si="41"/>
        <v>0</v>
      </c>
      <c r="EA53" s="17"/>
      <c r="EB53" s="17"/>
      <c r="EC53" s="17"/>
      <c r="ED53" s="17"/>
      <c r="EE53" s="17"/>
      <c r="EF53" s="17"/>
      <c r="EG53" s="17"/>
      <c r="EH53" s="17"/>
      <c r="EI53" s="17"/>
      <c r="EJ53" s="17"/>
      <c r="EK53" s="17"/>
      <c r="EL53" s="17"/>
      <c r="EM53" s="19">
        <f t="shared" si="42"/>
        <v>0</v>
      </c>
      <c r="EO53" s="17"/>
      <c r="EP53" s="17"/>
      <c r="EQ53" s="17"/>
      <c r="ER53" s="17"/>
      <c r="ES53" s="17"/>
      <c r="ET53" s="17"/>
      <c r="EU53" s="17"/>
      <c r="EV53" s="17"/>
      <c r="EW53" s="17"/>
      <c r="EX53" s="17"/>
      <c r="EY53" s="17"/>
      <c r="EZ53" s="17"/>
      <c r="FA53" s="19">
        <f t="shared" si="43"/>
        <v>0</v>
      </c>
    </row>
    <row r="54" spans="3:157" hidden="1" x14ac:dyDescent="0.25">
      <c r="C54" s="16" t="s">
        <v>24</v>
      </c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9">
        <f t="shared" si="33"/>
        <v>0</v>
      </c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9">
        <f t="shared" si="34"/>
        <v>0</v>
      </c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9">
        <f t="shared" si="35"/>
        <v>0</v>
      </c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9">
        <f t="shared" si="36"/>
        <v>0</v>
      </c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9">
        <f t="shared" si="37"/>
        <v>0</v>
      </c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9">
        <f t="shared" si="38"/>
        <v>0</v>
      </c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9">
        <f t="shared" si="39"/>
        <v>0</v>
      </c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9">
        <f t="shared" si="40"/>
        <v>0</v>
      </c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9">
        <f t="shared" si="41"/>
        <v>0</v>
      </c>
      <c r="EA54" s="17"/>
      <c r="EB54" s="17"/>
      <c r="EC54" s="17"/>
      <c r="ED54" s="17"/>
      <c r="EE54" s="17"/>
      <c r="EF54" s="17"/>
      <c r="EG54" s="17"/>
      <c r="EH54" s="17"/>
      <c r="EI54" s="17"/>
      <c r="EJ54" s="17"/>
      <c r="EK54" s="17"/>
      <c r="EL54" s="17"/>
      <c r="EM54" s="19">
        <f t="shared" si="42"/>
        <v>0</v>
      </c>
      <c r="EO54" s="17"/>
      <c r="EP54" s="17"/>
      <c r="EQ54" s="17"/>
      <c r="ER54" s="17"/>
      <c r="ES54" s="17"/>
      <c r="ET54" s="17"/>
      <c r="EU54" s="17"/>
      <c r="EV54" s="17"/>
      <c r="EW54" s="17"/>
      <c r="EX54" s="17"/>
      <c r="EY54" s="17"/>
      <c r="EZ54" s="17"/>
      <c r="FA54" s="19">
        <f t="shared" si="43"/>
        <v>0</v>
      </c>
    </row>
    <row r="55" spans="3:157" ht="15" hidden="1" customHeight="1" x14ac:dyDescent="0.25">
      <c r="C55" s="16" t="s">
        <v>24</v>
      </c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9">
        <f t="shared" si="33"/>
        <v>0</v>
      </c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9">
        <f t="shared" si="34"/>
        <v>0</v>
      </c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9">
        <f t="shared" si="35"/>
        <v>0</v>
      </c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9">
        <f t="shared" si="36"/>
        <v>0</v>
      </c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9">
        <f t="shared" si="37"/>
        <v>0</v>
      </c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9">
        <f t="shared" si="38"/>
        <v>0</v>
      </c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9">
        <f t="shared" si="39"/>
        <v>0</v>
      </c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9">
        <f t="shared" si="40"/>
        <v>0</v>
      </c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9">
        <f t="shared" si="41"/>
        <v>0</v>
      </c>
      <c r="EA55" s="17"/>
      <c r="EB55" s="17"/>
      <c r="EC55" s="17"/>
      <c r="ED55" s="17"/>
      <c r="EE55" s="17"/>
      <c r="EF55" s="17"/>
      <c r="EG55" s="17"/>
      <c r="EH55" s="17"/>
      <c r="EI55" s="17"/>
      <c r="EJ55" s="17"/>
      <c r="EK55" s="17"/>
      <c r="EL55" s="17"/>
      <c r="EM55" s="19">
        <f t="shared" si="42"/>
        <v>0</v>
      </c>
      <c r="EO55" s="17"/>
      <c r="EP55" s="17"/>
      <c r="EQ55" s="17"/>
      <c r="ER55" s="17"/>
      <c r="ES55" s="17"/>
      <c r="ET55" s="17"/>
      <c r="EU55" s="17"/>
      <c r="EV55" s="17"/>
      <c r="EW55" s="17"/>
      <c r="EX55" s="17"/>
      <c r="EY55" s="17"/>
      <c r="EZ55" s="17"/>
      <c r="FA55" s="19">
        <f t="shared" si="43"/>
        <v>0</v>
      </c>
    </row>
    <row r="56" spans="3:157" hidden="1" x14ac:dyDescent="0.25">
      <c r="C56" s="16" t="s">
        <v>24</v>
      </c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9">
        <f t="shared" si="33"/>
        <v>0</v>
      </c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9">
        <f t="shared" si="34"/>
        <v>0</v>
      </c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9">
        <f t="shared" si="35"/>
        <v>0</v>
      </c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9">
        <f t="shared" si="36"/>
        <v>0</v>
      </c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9">
        <f t="shared" si="37"/>
        <v>0</v>
      </c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9">
        <f t="shared" si="38"/>
        <v>0</v>
      </c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9">
        <f t="shared" si="39"/>
        <v>0</v>
      </c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9">
        <f t="shared" si="40"/>
        <v>0</v>
      </c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9">
        <f t="shared" si="41"/>
        <v>0</v>
      </c>
      <c r="EA56" s="17"/>
      <c r="EB56" s="17"/>
      <c r="EC56" s="17"/>
      <c r="ED56" s="17"/>
      <c r="EE56" s="17"/>
      <c r="EF56" s="17"/>
      <c r="EG56" s="17"/>
      <c r="EH56" s="17"/>
      <c r="EI56" s="17"/>
      <c r="EJ56" s="17"/>
      <c r="EK56" s="17"/>
      <c r="EL56" s="17"/>
      <c r="EM56" s="19">
        <f t="shared" si="42"/>
        <v>0</v>
      </c>
      <c r="EO56" s="17"/>
      <c r="EP56" s="17"/>
      <c r="EQ56" s="17"/>
      <c r="ER56" s="17"/>
      <c r="ES56" s="17"/>
      <c r="ET56" s="17"/>
      <c r="EU56" s="17"/>
      <c r="EV56" s="17"/>
      <c r="EW56" s="17"/>
      <c r="EX56" s="17"/>
      <c r="EY56" s="17"/>
      <c r="EZ56" s="17"/>
      <c r="FA56" s="19">
        <f t="shared" si="43"/>
        <v>0</v>
      </c>
    </row>
    <row r="57" spans="3:157" hidden="1" x14ac:dyDescent="0.25">
      <c r="C57" s="16" t="s">
        <v>24</v>
      </c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9">
        <f t="shared" si="33"/>
        <v>0</v>
      </c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9">
        <f t="shared" si="34"/>
        <v>0</v>
      </c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9">
        <f t="shared" si="35"/>
        <v>0</v>
      </c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9">
        <f t="shared" si="36"/>
        <v>0</v>
      </c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9">
        <f t="shared" si="37"/>
        <v>0</v>
      </c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9">
        <f t="shared" si="38"/>
        <v>0</v>
      </c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9">
        <f t="shared" si="39"/>
        <v>0</v>
      </c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9">
        <f t="shared" si="40"/>
        <v>0</v>
      </c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9">
        <f t="shared" si="41"/>
        <v>0</v>
      </c>
      <c r="EA57" s="17"/>
      <c r="EB57" s="17"/>
      <c r="EC57" s="17"/>
      <c r="ED57" s="17"/>
      <c r="EE57" s="17"/>
      <c r="EF57" s="17"/>
      <c r="EG57" s="17"/>
      <c r="EH57" s="17"/>
      <c r="EI57" s="17"/>
      <c r="EJ57" s="17"/>
      <c r="EK57" s="17"/>
      <c r="EL57" s="17"/>
      <c r="EM57" s="19">
        <f t="shared" si="42"/>
        <v>0</v>
      </c>
      <c r="EO57" s="17"/>
      <c r="EP57" s="17"/>
      <c r="EQ57" s="17"/>
      <c r="ER57" s="17"/>
      <c r="ES57" s="17"/>
      <c r="ET57" s="17"/>
      <c r="EU57" s="17"/>
      <c r="EV57" s="17"/>
      <c r="EW57" s="17"/>
      <c r="EX57" s="17"/>
      <c r="EY57" s="17"/>
      <c r="EZ57" s="17"/>
      <c r="FA57" s="19">
        <f t="shared" si="43"/>
        <v>0</v>
      </c>
    </row>
    <row r="58" spans="3:157" x14ac:dyDescent="0.25">
      <c r="C58" s="13" t="s">
        <v>8</v>
      </c>
      <c r="E58" s="18" cm="1">
        <f t="array" aca="1" ref="E58" ca="1">SUM(INDIRECT(ADDRESS(savings_min_row,COLUMN()) &amp;":"&amp; ADDRESS(savings_max_row,COLUMN())))</f>
        <v>3000</v>
      </c>
      <c r="F58" s="18" cm="1">
        <f t="array" aca="1" ref="F58" ca="1">SUM(INDIRECT(ADDRESS(savings_min_row,COLUMN()) &amp;":"&amp; ADDRESS(savings_max_row,COLUMN())))</f>
        <v>58686</v>
      </c>
      <c r="G58" s="18" cm="1">
        <f t="array" aca="1" ref="G58" ca="1">SUM(INDIRECT(ADDRESS(savings_min_row,COLUMN()) &amp;":"&amp; ADDRESS(savings_max_row,COLUMN())))</f>
        <v>70138</v>
      </c>
      <c r="H58" s="18" cm="1">
        <f t="array" aca="1" ref="H58" ca="1">SUM(INDIRECT(ADDRESS(savings_min_row,COLUMN()) &amp;":"&amp; ADDRESS(savings_max_row,COLUMN())))</f>
        <v>55781</v>
      </c>
      <c r="I58" s="18" cm="1">
        <f t="array" aca="1" ref="I58" ca="1">SUM(INDIRECT(ADDRESS(savings_min_row,COLUMN()) &amp;":"&amp; ADDRESS(savings_max_row,COLUMN())))</f>
        <v>57335</v>
      </c>
      <c r="J58" s="18" cm="1">
        <f t="array" aca="1" ref="J58" ca="1">SUM(INDIRECT(ADDRESS(savings_min_row,COLUMN()) &amp;":"&amp; ADDRESS(savings_max_row,COLUMN())))</f>
        <v>62785</v>
      </c>
      <c r="K58" s="18" cm="1">
        <f t="array" aca="1" ref="K58" ca="1">SUM(INDIRECT(ADDRESS(savings_min_row,COLUMN()) &amp;":"&amp; ADDRESS(savings_max_row,COLUMN())))</f>
        <v>68318</v>
      </c>
      <c r="L58" s="18" cm="1">
        <f t="array" aca="1" ref="L58" ca="1">SUM(INDIRECT(ADDRESS(savings_min_row,COLUMN()) &amp;":"&amp; ADDRESS(savings_max_row,COLUMN())))</f>
        <v>77895</v>
      </c>
      <c r="M58" s="18" cm="1">
        <f t="array" aca="1" ref="M58" ca="1">SUM(INDIRECT(ADDRESS(savings_min_row,COLUMN()) &amp;":"&amp; ADDRESS(savings_max_row,COLUMN())))</f>
        <v>79415</v>
      </c>
      <c r="N58" s="18" cm="1">
        <f t="array" aca="1" ref="N58" ca="1">SUM(INDIRECT(ADDRESS(savings_min_row,COLUMN()) &amp;":"&amp; ADDRESS(savings_max_row,COLUMN())))</f>
        <v>88877</v>
      </c>
      <c r="O58" s="18" cm="1">
        <f t="array" aca="1" ref="O58" ca="1">SUM(INDIRECT(ADDRESS(savings_min_row,COLUMN()) &amp;":"&amp; ADDRESS(savings_max_row,COLUMN())))</f>
        <v>92591</v>
      </c>
      <c r="P58" s="18" cm="1">
        <f t="array" aca="1" ref="P58" ca="1">SUM(INDIRECT(ADDRESS(savings_min_row,COLUMN()) &amp;":"&amp; ADDRESS(savings_max_row,COLUMN())))</f>
        <v>85224</v>
      </c>
      <c r="Q58" s="18" cm="1">
        <f t="array" aca="1" ref="Q58" ca="1">SUM(INDIRECT(ADDRESS(savings_min_row,COLUMN()) &amp;":"&amp; ADDRESS(savings_max_row,COLUMN())))</f>
        <v>800045</v>
      </c>
      <c r="S58" s="18" cm="1">
        <f t="array" aca="1" ref="S58" ca="1">SUM(INDIRECT(ADDRESS(savings_min_row,COLUMN()) &amp;":"&amp; ADDRESS(savings_max_row,COLUMN())))</f>
        <v>0</v>
      </c>
      <c r="T58" s="18" cm="1">
        <f t="array" aca="1" ref="T58" ca="1">SUM(INDIRECT(ADDRESS(savings_min_row,COLUMN()) &amp;":"&amp; ADDRESS(savings_max_row,COLUMN())))</f>
        <v>0</v>
      </c>
      <c r="U58" s="18" cm="1">
        <f t="array" aca="1" ref="U58" ca="1">SUM(INDIRECT(ADDRESS(savings_min_row,COLUMN()) &amp;":"&amp; ADDRESS(savings_max_row,COLUMN())))</f>
        <v>0</v>
      </c>
      <c r="V58" s="18" cm="1">
        <f t="array" aca="1" ref="V58" ca="1">SUM(INDIRECT(ADDRESS(savings_min_row,COLUMN()) &amp;":"&amp; ADDRESS(savings_max_row,COLUMN())))</f>
        <v>0</v>
      </c>
      <c r="W58" s="18" cm="1">
        <f t="array" aca="1" ref="W58" ca="1">SUM(INDIRECT(ADDRESS(savings_min_row,COLUMN()) &amp;":"&amp; ADDRESS(savings_max_row,COLUMN())))</f>
        <v>0</v>
      </c>
      <c r="X58" s="18" cm="1">
        <f t="array" aca="1" ref="X58" ca="1">SUM(INDIRECT(ADDRESS(savings_min_row,COLUMN()) &amp;":"&amp; ADDRESS(savings_max_row,COLUMN())))</f>
        <v>0</v>
      </c>
      <c r="Y58" s="18" cm="1">
        <f t="array" aca="1" ref="Y58" ca="1">SUM(INDIRECT(ADDRESS(savings_min_row,COLUMN()) &amp;":"&amp; ADDRESS(savings_max_row,COLUMN())))</f>
        <v>0</v>
      </c>
      <c r="Z58" s="18" cm="1">
        <f t="array" aca="1" ref="Z58" ca="1">SUM(INDIRECT(ADDRESS(savings_min_row,COLUMN()) &amp;":"&amp; ADDRESS(savings_max_row,COLUMN())))</f>
        <v>0</v>
      </c>
      <c r="AA58" s="18" cm="1">
        <f t="array" aca="1" ref="AA58" ca="1">SUM(INDIRECT(ADDRESS(savings_min_row,COLUMN()) &amp;":"&amp; ADDRESS(savings_max_row,COLUMN())))</f>
        <v>0</v>
      </c>
      <c r="AB58" s="18" cm="1">
        <f t="array" aca="1" ref="AB58" ca="1">SUM(INDIRECT(ADDRESS(savings_min_row,COLUMN()) &amp;":"&amp; ADDRESS(savings_max_row,COLUMN())))</f>
        <v>0</v>
      </c>
      <c r="AC58" s="18" cm="1">
        <f t="array" aca="1" ref="AC58" ca="1">SUM(INDIRECT(ADDRESS(savings_min_row,COLUMN()) &amp;":"&amp; ADDRESS(savings_max_row,COLUMN())))</f>
        <v>0</v>
      </c>
      <c r="AD58" s="18" cm="1">
        <f t="array" aca="1" ref="AD58" ca="1">SUM(INDIRECT(ADDRESS(savings_min_row,COLUMN()) &amp;":"&amp; ADDRESS(savings_max_row,COLUMN())))</f>
        <v>0</v>
      </c>
      <c r="AE58" s="18" cm="1">
        <f t="array" aca="1" ref="AE58" ca="1">SUM(INDIRECT(ADDRESS(savings_min_row,COLUMN()) &amp;":"&amp; ADDRESS(savings_max_row,COLUMN())))</f>
        <v>0</v>
      </c>
      <c r="AG58" s="18" cm="1">
        <f t="array" aca="1" ref="AG58" ca="1">SUM(INDIRECT(ADDRESS(savings_min_row,COLUMN()) &amp;":"&amp; ADDRESS(savings_max_row,COLUMN())))</f>
        <v>0</v>
      </c>
      <c r="AH58" s="18" cm="1">
        <f t="array" aca="1" ref="AH58" ca="1">SUM(INDIRECT(ADDRESS(savings_min_row,COLUMN()) &amp;":"&amp; ADDRESS(savings_max_row,COLUMN())))</f>
        <v>0</v>
      </c>
      <c r="AI58" s="18" cm="1">
        <f t="array" aca="1" ref="AI58" ca="1">SUM(INDIRECT(ADDRESS(savings_min_row,COLUMN()) &amp;":"&amp; ADDRESS(savings_max_row,COLUMN())))</f>
        <v>0</v>
      </c>
      <c r="AJ58" s="18" cm="1">
        <f t="array" aca="1" ref="AJ58" ca="1">SUM(INDIRECT(ADDRESS(savings_min_row,COLUMN()) &amp;":"&amp; ADDRESS(savings_max_row,COLUMN())))</f>
        <v>0</v>
      </c>
      <c r="AK58" s="18" cm="1">
        <f t="array" aca="1" ref="AK58" ca="1">SUM(INDIRECT(ADDRESS(savings_min_row,COLUMN()) &amp;":"&amp; ADDRESS(savings_max_row,COLUMN())))</f>
        <v>0</v>
      </c>
      <c r="AL58" s="18" cm="1">
        <f t="array" aca="1" ref="AL58" ca="1">SUM(INDIRECT(ADDRESS(savings_min_row,COLUMN()) &amp;":"&amp; ADDRESS(savings_max_row,COLUMN())))</f>
        <v>0</v>
      </c>
      <c r="AM58" s="18" cm="1">
        <f t="array" aca="1" ref="AM58" ca="1">SUM(INDIRECT(ADDRESS(savings_min_row,COLUMN()) &amp;":"&amp; ADDRESS(savings_max_row,COLUMN())))</f>
        <v>0</v>
      </c>
      <c r="AN58" s="18" cm="1">
        <f t="array" aca="1" ref="AN58" ca="1">SUM(INDIRECT(ADDRESS(savings_min_row,COLUMN()) &amp;":"&amp; ADDRESS(savings_max_row,COLUMN())))</f>
        <v>0</v>
      </c>
      <c r="AO58" s="18" cm="1">
        <f t="array" aca="1" ref="AO58" ca="1">SUM(INDIRECT(ADDRESS(savings_min_row,COLUMN()) &amp;":"&amp; ADDRESS(savings_max_row,COLUMN())))</f>
        <v>0</v>
      </c>
      <c r="AP58" s="18" cm="1">
        <f t="array" aca="1" ref="AP58" ca="1">SUM(INDIRECT(ADDRESS(savings_min_row,COLUMN()) &amp;":"&amp; ADDRESS(savings_max_row,COLUMN())))</f>
        <v>0</v>
      </c>
      <c r="AQ58" s="18" cm="1">
        <f t="array" aca="1" ref="AQ58" ca="1">SUM(INDIRECT(ADDRESS(savings_min_row,COLUMN()) &amp;":"&amp; ADDRESS(savings_max_row,COLUMN())))</f>
        <v>0</v>
      </c>
      <c r="AR58" s="18" cm="1">
        <f t="array" aca="1" ref="AR58" ca="1">SUM(INDIRECT(ADDRESS(savings_min_row,COLUMN()) &amp;":"&amp; ADDRESS(savings_max_row,COLUMN())))</f>
        <v>0</v>
      </c>
      <c r="AS58" s="18" cm="1">
        <f t="array" aca="1" ref="AS58" ca="1">SUM(INDIRECT(ADDRESS(savings_min_row,COLUMN()) &amp;":"&amp; ADDRESS(savings_max_row,COLUMN())))</f>
        <v>0</v>
      </c>
      <c r="AU58" s="18" cm="1">
        <f t="array" aca="1" ref="AU58" ca="1">SUM(INDIRECT(ADDRESS(savings_min_row,COLUMN()) &amp;":"&amp; ADDRESS(savings_max_row,COLUMN())))</f>
        <v>0</v>
      </c>
      <c r="AV58" s="18" cm="1">
        <f t="array" aca="1" ref="AV58" ca="1">SUM(INDIRECT(ADDRESS(savings_min_row,COLUMN()) &amp;":"&amp; ADDRESS(savings_max_row,COLUMN())))</f>
        <v>0</v>
      </c>
      <c r="AW58" s="18" cm="1">
        <f t="array" aca="1" ref="AW58" ca="1">SUM(INDIRECT(ADDRESS(savings_min_row,COLUMN()) &amp;":"&amp; ADDRESS(savings_max_row,COLUMN())))</f>
        <v>0</v>
      </c>
      <c r="AX58" s="18" cm="1">
        <f t="array" aca="1" ref="AX58" ca="1">SUM(INDIRECT(ADDRESS(savings_min_row,COLUMN()) &amp;":"&amp; ADDRESS(savings_max_row,COLUMN())))</f>
        <v>0</v>
      </c>
      <c r="AY58" s="18" cm="1">
        <f t="array" aca="1" ref="AY58" ca="1">SUM(INDIRECT(ADDRESS(savings_min_row,COLUMN()) &amp;":"&amp; ADDRESS(savings_max_row,COLUMN())))</f>
        <v>0</v>
      </c>
      <c r="AZ58" s="18" cm="1">
        <f t="array" aca="1" ref="AZ58" ca="1">SUM(INDIRECT(ADDRESS(savings_min_row,COLUMN()) &amp;":"&amp; ADDRESS(savings_max_row,COLUMN())))</f>
        <v>0</v>
      </c>
      <c r="BA58" s="18" cm="1">
        <f t="array" aca="1" ref="BA58" ca="1">SUM(INDIRECT(ADDRESS(savings_min_row,COLUMN()) &amp;":"&amp; ADDRESS(savings_max_row,COLUMN())))</f>
        <v>0</v>
      </c>
      <c r="BB58" s="18" cm="1">
        <f t="array" aca="1" ref="BB58" ca="1">SUM(INDIRECT(ADDRESS(savings_min_row,COLUMN()) &amp;":"&amp; ADDRESS(savings_max_row,COLUMN())))</f>
        <v>0</v>
      </c>
      <c r="BC58" s="18" cm="1">
        <f t="array" aca="1" ref="BC58" ca="1">SUM(INDIRECT(ADDRESS(savings_min_row,COLUMN()) &amp;":"&amp; ADDRESS(savings_max_row,COLUMN())))</f>
        <v>0</v>
      </c>
      <c r="BD58" s="18" cm="1">
        <f t="array" aca="1" ref="BD58" ca="1">SUM(INDIRECT(ADDRESS(savings_min_row,COLUMN()) &amp;":"&amp; ADDRESS(savings_max_row,COLUMN())))</f>
        <v>0</v>
      </c>
      <c r="BE58" s="18" cm="1">
        <f t="array" aca="1" ref="BE58" ca="1">SUM(INDIRECT(ADDRESS(savings_min_row,COLUMN()) &amp;":"&amp; ADDRESS(savings_max_row,COLUMN())))</f>
        <v>0</v>
      </c>
      <c r="BF58" s="18" cm="1">
        <f t="array" aca="1" ref="BF58" ca="1">SUM(INDIRECT(ADDRESS(savings_min_row,COLUMN()) &amp;":"&amp; ADDRESS(savings_max_row,COLUMN())))</f>
        <v>0</v>
      </c>
      <c r="BG58" s="18" cm="1">
        <f t="array" aca="1" ref="BG58" ca="1">SUM(INDIRECT(ADDRESS(savings_min_row,COLUMN()) &amp;":"&amp; ADDRESS(savings_max_row,COLUMN())))</f>
        <v>0</v>
      </c>
      <c r="BI58" s="18" cm="1">
        <f t="array" aca="1" ref="BI58" ca="1">SUM(INDIRECT(ADDRESS(savings_min_row,COLUMN()) &amp;":"&amp; ADDRESS(savings_max_row,COLUMN())))</f>
        <v>0</v>
      </c>
      <c r="BJ58" s="18" cm="1">
        <f t="array" aca="1" ref="BJ58" ca="1">SUM(INDIRECT(ADDRESS(savings_min_row,COLUMN()) &amp;":"&amp; ADDRESS(savings_max_row,COLUMN())))</f>
        <v>0</v>
      </c>
      <c r="BK58" s="18" cm="1">
        <f t="array" aca="1" ref="BK58" ca="1">SUM(INDIRECT(ADDRESS(savings_min_row,COLUMN()) &amp;":"&amp; ADDRESS(savings_max_row,COLUMN())))</f>
        <v>0</v>
      </c>
      <c r="BL58" s="18" cm="1">
        <f t="array" aca="1" ref="BL58" ca="1">SUM(INDIRECT(ADDRESS(savings_min_row,COLUMN()) &amp;":"&amp; ADDRESS(savings_max_row,COLUMN())))</f>
        <v>0</v>
      </c>
      <c r="BM58" s="18" cm="1">
        <f t="array" aca="1" ref="BM58" ca="1">SUM(INDIRECT(ADDRESS(savings_min_row,COLUMN()) &amp;":"&amp; ADDRESS(savings_max_row,COLUMN())))</f>
        <v>0</v>
      </c>
      <c r="BN58" s="18" cm="1">
        <f t="array" aca="1" ref="BN58" ca="1">SUM(INDIRECT(ADDRESS(savings_min_row,COLUMN()) &amp;":"&amp; ADDRESS(savings_max_row,COLUMN())))</f>
        <v>0</v>
      </c>
      <c r="BO58" s="18" cm="1">
        <f t="array" aca="1" ref="BO58" ca="1">SUM(INDIRECT(ADDRESS(savings_min_row,COLUMN()) &amp;":"&amp; ADDRESS(savings_max_row,COLUMN())))</f>
        <v>0</v>
      </c>
      <c r="BP58" s="18" cm="1">
        <f t="array" aca="1" ref="BP58" ca="1">SUM(INDIRECT(ADDRESS(savings_min_row,COLUMN()) &amp;":"&amp; ADDRESS(savings_max_row,COLUMN())))</f>
        <v>0</v>
      </c>
      <c r="BQ58" s="18" cm="1">
        <f t="array" aca="1" ref="BQ58" ca="1">SUM(INDIRECT(ADDRESS(savings_min_row,COLUMN()) &amp;":"&amp; ADDRESS(savings_max_row,COLUMN())))</f>
        <v>0</v>
      </c>
      <c r="BR58" s="18" cm="1">
        <f t="array" aca="1" ref="BR58" ca="1">SUM(INDIRECT(ADDRESS(savings_min_row,COLUMN()) &amp;":"&amp; ADDRESS(savings_max_row,COLUMN())))</f>
        <v>0</v>
      </c>
      <c r="BS58" s="18" cm="1">
        <f t="array" aca="1" ref="BS58" ca="1">SUM(INDIRECT(ADDRESS(savings_min_row,COLUMN()) &amp;":"&amp; ADDRESS(savings_max_row,COLUMN())))</f>
        <v>0</v>
      </c>
      <c r="BT58" s="18" cm="1">
        <f t="array" aca="1" ref="BT58" ca="1">SUM(INDIRECT(ADDRESS(savings_min_row,COLUMN()) &amp;":"&amp; ADDRESS(savings_max_row,COLUMN())))</f>
        <v>0</v>
      </c>
      <c r="BU58" s="18" cm="1">
        <f t="array" aca="1" ref="BU58" ca="1">SUM(INDIRECT(ADDRESS(savings_min_row,COLUMN()) &amp;":"&amp; ADDRESS(savings_max_row,COLUMN())))</f>
        <v>0</v>
      </c>
      <c r="BW58" s="18" cm="1">
        <f t="array" aca="1" ref="BW58" ca="1">SUM(INDIRECT(ADDRESS(savings_min_row,COLUMN()) &amp;":"&amp; ADDRESS(savings_max_row,COLUMN())))</f>
        <v>0</v>
      </c>
      <c r="BX58" s="18" cm="1">
        <f t="array" aca="1" ref="BX58" ca="1">SUM(INDIRECT(ADDRESS(savings_min_row,COLUMN()) &amp;":"&amp; ADDRESS(savings_max_row,COLUMN())))</f>
        <v>0</v>
      </c>
      <c r="BY58" s="18" cm="1">
        <f t="array" aca="1" ref="BY58" ca="1">SUM(INDIRECT(ADDRESS(savings_min_row,COLUMN()) &amp;":"&amp; ADDRESS(savings_max_row,COLUMN())))</f>
        <v>0</v>
      </c>
      <c r="BZ58" s="18" cm="1">
        <f t="array" aca="1" ref="BZ58" ca="1">SUM(INDIRECT(ADDRESS(savings_min_row,COLUMN()) &amp;":"&amp; ADDRESS(savings_max_row,COLUMN())))</f>
        <v>0</v>
      </c>
      <c r="CA58" s="18" cm="1">
        <f t="array" aca="1" ref="CA58" ca="1">SUM(INDIRECT(ADDRESS(savings_min_row,COLUMN()) &amp;":"&amp; ADDRESS(savings_max_row,COLUMN())))</f>
        <v>0</v>
      </c>
      <c r="CB58" s="18" cm="1">
        <f t="array" aca="1" ref="CB58" ca="1">SUM(INDIRECT(ADDRESS(savings_min_row,COLUMN()) &amp;":"&amp; ADDRESS(savings_max_row,COLUMN())))</f>
        <v>0</v>
      </c>
      <c r="CC58" s="18" cm="1">
        <f t="array" aca="1" ref="CC58" ca="1">SUM(INDIRECT(ADDRESS(savings_min_row,COLUMN()) &amp;":"&amp; ADDRESS(savings_max_row,COLUMN())))</f>
        <v>0</v>
      </c>
      <c r="CD58" s="18" cm="1">
        <f t="array" aca="1" ref="CD58" ca="1">SUM(INDIRECT(ADDRESS(savings_min_row,COLUMN()) &amp;":"&amp; ADDRESS(savings_max_row,COLUMN())))</f>
        <v>0</v>
      </c>
      <c r="CE58" s="18" cm="1">
        <f t="array" aca="1" ref="CE58" ca="1">SUM(INDIRECT(ADDRESS(savings_min_row,COLUMN()) &amp;":"&amp; ADDRESS(savings_max_row,COLUMN())))</f>
        <v>0</v>
      </c>
      <c r="CF58" s="18" cm="1">
        <f t="array" aca="1" ref="CF58" ca="1">SUM(INDIRECT(ADDRESS(savings_min_row,COLUMN()) &amp;":"&amp; ADDRESS(savings_max_row,COLUMN())))</f>
        <v>0</v>
      </c>
      <c r="CG58" s="18" cm="1">
        <f t="array" aca="1" ref="CG58" ca="1">SUM(INDIRECT(ADDRESS(savings_min_row,COLUMN()) &amp;":"&amp; ADDRESS(savings_max_row,COLUMN())))</f>
        <v>0</v>
      </c>
      <c r="CH58" s="18" cm="1">
        <f t="array" aca="1" ref="CH58" ca="1">SUM(INDIRECT(ADDRESS(savings_min_row,COLUMN()) &amp;":"&amp; ADDRESS(savings_max_row,COLUMN())))</f>
        <v>0</v>
      </c>
      <c r="CI58" s="18" cm="1">
        <f t="array" aca="1" ref="CI58" ca="1">SUM(INDIRECT(ADDRESS(savings_min_row,COLUMN()) &amp;":"&amp; ADDRESS(savings_max_row,COLUMN())))</f>
        <v>0</v>
      </c>
      <c r="CK58" s="18" cm="1">
        <f t="array" aca="1" ref="CK58" ca="1">SUM(INDIRECT(ADDRESS(savings_min_row,COLUMN()) &amp;":"&amp; ADDRESS(savings_max_row,COLUMN())))</f>
        <v>0</v>
      </c>
      <c r="CL58" s="18" cm="1">
        <f t="array" aca="1" ref="CL58" ca="1">SUM(INDIRECT(ADDRESS(savings_min_row,COLUMN()) &amp;":"&amp; ADDRESS(savings_max_row,COLUMN())))</f>
        <v>0</v>
      </c>
      <c r="CM58" s="18" cm="1">
        <f t="array" aca="1" ref="CM58" ca="1">SUM(INDIRECT(ADDRESS(savings_min_row,COLUMN()) &amp;":"&amp; ADDRESS(savings_max_row,COLUMN())))</f>
        <v>0</v>
      </c>
      <c r="CN58" s="18" cm="1">
        <f t="array" aca="1" ref="CN58" ca="1">SUM(INDIRECT(ADDRESS(savings_min_row,COLUMN()) &amp;":"&amp; ADDRESS(savings_max_row,COLUMN())))</f>
        <v>0</v>
      </c>
      <c r="CO58" s="18" cm="1">
        <f t="array" aca="1" ref="CO58" ca="1">SUM(INDIRECT(ADDRESS(savings_min_row,COLUMN()) &amp;":"&amp; ADDRESS(savings_max_row,COLUMN())))</f>
        <v>0</v>
      </c>
      <c r="CP58" s="18" cm="1">
        <f t="array" aca="1" ref="CP58" ca="1">SUM(INDIRECT(ADDRESS(savings_min_row,COLUMN()) &amp;":"&amp; ADDRESS(savings_max_row,COLUMN())))</f>
        <v>0</v>
      </c>
      <c r="CQ58" s="18" cm="1">
        <f t="array" aca="1" ref="CQ58" ca="1">SUM(INDIRECT(ADDRESS(savings_min_row,COLUMN()) &amp;":"&amp; ADDRESS(savings_max_row,COLUMN())))</f>
        <v>0</v>
      </c>
      <c r="CR58" s="18" cm="1">
        <f t="array" aca="1" ref="CR58" ca="1">SUM(INDIRECT(ADDRESS(savings_min_row,COLUMN()) &amp;":"&amp; ADDRESS(savings_max_row,COLUMN())))</f>
        <v>0</v>
      </c>
      <c r="CS58" s="18" cm="1">
        <f t="array" aca="1" ref="CS58" ca="1">SUM(INDIRECT(ADDRESS(savings_min_row,COLUMN()) &amp;":"&amp; ADDRESS(savings_max_row,COLUMN())))</f>
        <v>0</v>
      </c>
      <c r="CT58" s="18" cm="1">
        <f t="array" aca="1" ref="CT58" ca="1">SUM(INDIRECT(ADDRESS(savings_min_row,COLUMN()) &amp;":"&amp; ADDRESS(savings_max_row,COLUMN())))</f>
        <v>0</v>
      </c>
      <c r="CU58" s="18" cm="1">
        <f t="array" aca="1" ref="CU58" ca="1">SUM(INDIRECT(ADDRESS(savings_min_row,COLUMN()) &amp;":"&amp; ADDRESS(savings_max_row,COLUMN())))</f>
        <v>0</v>
      </c>
      <c r="CV58" s="18" cm="1">
        <f t="array" aca="1" ref="CV58" ca="1">SUM(INDIRECT(ADDRESS(savings_min_row,COLUMN()) &amp;":"&amp; ADDRESS(savings_max_row,COLUMN())))</f>
        <v>0</v>
      </c>
      <c r="CW58" s="18" cm="1">
        <f t="array" aca="1" ref="CW58" ca="1">SUM(INDIRECT(ADDRESS(savings_min_row,COLUMN()) &amp;":"&amp; ADDRESS(savings_max_row,COLUMN())))</f>
        <v>0</v>
      </c>
      <c r="CY58" s="18" cm="1">
        <f t="array" aca="1" ref="CY58" ca="1">SUM(INDIRECT(ADDRESS(savings_min_row,COLUMN()) &amp;":"&amp; ADDRESS(savings_max_row,COLUMN())))</f>
        <v>0</v>
      </c>
      <c r="CZ58" s="18" cm="1">
        <f t="array" aca="1" ref="CZ58" ca="1">SUM(INDIRECT(ADDRESS(savings_min_row,COLUMN()) &amp;":"&amp; ADDRESS(savings_max_row,COLUMN())))</f>
        <v>0</v>
      </c>
      <c r="DA58" s="18" cm="1">
        <f t="array" aca="1" ref="DA58" ca="1">SUM(INDIRECT(ADDRESS(savings_min_row,COLUMN()) &amp;":"&amp; ADDRESS(savings_max_row,COLUMN())))</f>
        <v>0</v>
      </c>
      <c r="DB58" s="18" cm="1">
        <f t="array" aca="1" ref="DB58" ca="1">SUM(INDIRECT(ADDRESS(savings_min_row,COLUMN()) &amp;":"&amp; ADDRESS(savings_max_row,COLUMN())))</f>
        <v>0</v>
      </c>
      <c r="DC58" s="18" cm="1">
        <f t="array" aca="1" ref="DC58" ca="1">SUM(INDIRECT(ADDRESS(savings_min_row,COLUMN()) &amp;":"&amp; ADDRESS(savings_max_row,COLUMN())))</f>
        <v>0</v>
      </c>
      <c r="DD58" s="18" cm="1">
        <f t="array" aca="1" ref="DD58" ca="1">SUM(INDIRECT(ADDRESS(savings_min_row,COLUMN()) &amp;":"&amp; ADDRESS(savings_max_row,COLUMN())))</f>
        <v>0</v>
      </c>
      <c r="DE58" s="18" cm="1">
        <f t="array" aca="1" ref="DE58" ca="1">SUM(INDIRECT(ADDRESS(savings_min_row,COLUMN()) &amp;":"&amp; ADDRESS(savings_max_row,COLUMN())))</f>
        <v>0</v>
      </c>
      <c r="DF58" s="18" cm="1">
        <f t="array" aca="1" ref="DF58" ca="1">SUM(INDIRECT(ADDRESS(savings_min_row,COLUMN()) &amp;":"&amp; ADDRESS(savings_max_row,COLUMN())))</f>
        <v>0</v>
      </c>
      <c r="DG58" s="18" cm="1">
        <f t="array" aca="1" ref="DG58" ca="1">SUM(INDIRECT(ADDRESS(savings_min_row,COLUMN()) &amp;":"&amp; ADDRESS(savings_max_row,COLUMN())))</f>
        <v>0</v>
      </c>
      <c r="DH58" s="18" cm="1">
        <f t="array" aca="1" ref="DH58" ca="1">SUM(INDIRECT(ADDRESS(savings_min_row,COLUMN()) &amp;":"&amp; ADDRESS(savings_max_row,COLUMN())))</f>
        <v>0</v>
      </c>
      <c r="DI58" s="18" cm="1">
        <f t="array" aca="1" ref="DI58" ca="1">SUM(INDIRECT(ADDRESS(savings_min_row,COLUMN()) &amp;":"&amp; ADDRESS(savings_max_row,COLUMN())))</f>
        <v>0</v>
      </c>
      <c r="DJ58" s="18" cm="1">
        <f t="array" aca="1" ref="DJ58" ca="1">SUM(INDIRECT(ADDRESS(savings_min_row,COLUMN()) &amp;":"&amp; ADDRESS(savings_max_row,COLUMN())))</f>
        <v>0</v>
      </c>
      <c r="DK58" s="18" cm="1">
        <f t="array" aca="1" ref="DK58" ca="1">SUM(INDIRECT(ADDRESS(savings_min_row,COLUMN()) &amp;":"&amp; ADDRESS(savings_max_row,COLUMN())))</f>
        <v>0</v>
      </c>
      <c r="DM58" s="18" cm="1">
        <f t="array" aca="1" ref="DM58" ca="1">SUM(INDIRECT(ADDRESS(savings_min_row,COLUMN()) &amp;":"&amp; ADDRESS(savings_max_row,COLUMN())))</f>
        <v>0</v>
      </c>
      <c r="DN58" s="18" cm="1">
        <f t="array" aca="1" ref="DN58" ca="1">SUM(INDIRECT(ADDRESS(savings_min_row,COLUMN()) &amp;":"&amp; ADDRESS(savings_max_row,COLUMN())))</f>
        <v>0</v>
      </c>
      <c r="DO58" s="18" cm="1">
        <f t="array" aca="1" ref="DO58" ca="1">SUM(INDIRECT(ADDRESS(savings_min_row,COLUMN()) &amp;":"&amp; ADDRESS(savings_max_row,COLUMN())))</f>
        <v>0</v>
      </c>
      <c r="DP58" s="18" cm="1">
        <f t="array" aca="1" ref="DP58" ca="1">SUM(INDIRECT(ADDRESS(savings_min_row,COLUMN()) &amp;":"&amp; ADDRESS(savings_max_row,COLUMN())))</f>
        <v>0</v>
      </c>
      <c r="DQ58" s="18" cm="1">
        <f t="array" aca="1" ref="DQ58" ca="1">SUM(INDIRECT(ADDRESS(savings_min_row,COLUMN()) &amp;":"&amp; ADDRESS(savings_max_row,COLUMN())))</f>
        <v>0</v>
      </c>
      <c r="DR58" s="18" cm="1">
        <f t="array" aca="1" ref="DR58" ca="1">SUM(INDIRECT(ADDRESS(savings_min_row,COLUMN()) &amp;":"&amp; ADDRESS(savings_max_row,COLUMN())))</f>
        <v>0</v>
      </c>
      <c r="DS58" s="18" cm="1">
        <f t="array" aca="1" ref="DS58" ca="1">SUM(INDIRECT(ADDRESS(savings_min_row,COLUMN()) &amp;":"&amp; ADDRESS(savings_max_row,COLUMN())))</f>
        <v>0</v>
      </c>
      <c r="DT58" s="18" cm="1">
        <f t="array" aca="1" ref="DT58" ca="1">SUM(INDIRECT(ADDRESS(savings_min_row,COLUMN()) &amp;":"&amp; ADDRESS(savings_max_row,COLUMN())))</f>
        <v>0</v>
      </c>
      <c r="DU58" s="18" cm="1">
        <f t="array" aca="1" ref="DU58" ca="1">SUM(INDIRECT(ADDRESS(savings_min_row,COLUMN()) &amp;":"&amp; ADDRESS(savings_max_row,COLUMN())))</f>
        <v>0</v>
      </c>
      <c r="DV58" s="18" cm="1">
        <f t="array" aca="1" ref="DV58" ca="1">SUM(INDIRECT(ADDRESS(savings_min_row,COLUMN()) &amp;":"&amp; ADDRESS(savings_max_row,COLUMN())))</f>
        <v>0</v>
      </c>
      <c r="DW58" s="18" cm="1">
        <f t="array" aca="1" ref="DW58" ca="1">SUM(INDIRECT(ADDRESS(savings_min_row,COLUMN()) &amp;":"&amp; ADDRESS(savings_max_row,COLUMN())))</f>
        <v>0</v>
      </c>
      <c r="DX58" s="18" cm="1">
        <f t="array" aca="1" ref="DX58" ca="1">SUM(INDIRECT(ADDRESS(savings_min_row,COLUMN()) &amp;":"&amp; ADDRESS(savings_max_row,COLUMN())))</f>
        <v>0</v>
      </c>
      <c r="DY58" s="18" cm="1">
        <f t="array" aca="1" ref="DY58" ca="1">SUM(INDIRECT(ADDRESS(savings_min_row,COLUMN()) &amp;":"&amp; ADDRESS(savings_max_row,COLUMN())))</f>
        <v>0</v>
      </c>
      <c r="EA58" s="18" cm="1">
        <f t="array" aca="1" ref="EA58" ca="1">SUM(INDIRECT(ADDRESS(savings_min_row,COLUMN()) &amp;":"&amp; ADDRESS(savings_max_row,COLUMN())))</f>
        <v>0</v>
      </c>
      <c r="EB58" s="18" cm="1">
        <f t="array" aca="1" ref="EB58" ca="1">SUM(INDIRECT(ADDRESS(savings_min_row,COLUMN()) &amp;":"&amp; ADDRESS(savings_max_row,COLUMN())))</f>
        <v>0</v>
      </c>
      <c r="EC58" s="18" cm="1">
        <f t="array" aca="1" ref="EC58" ca="1">SUM(INDIRECT(ADDRESS(savings_min_row,COLUMN()) &amp;":"&amp; ADDRESS(savings_max_row,COLUMN())))</f>
        <v>0</v>
      </c>
      <c r="ED58" s="18" cm="1">
        <f t="array" aca="1" ref="ED58" ca="1">SUM(INDIRECT(ADDRESS(savings_min_row,COLUMN()) &amp;":"&amp; ADDRESS(savings_max_row,COLUMN())))</f>
        <v>0</v>
      </c>
      <c r="EE58" s="18" cm="1">
        <f t="array" aca="1" ref="EE58" ca="1">SUM(INDIRECT(ADDRESS(savings_min_row,COLUMN()) &amp;":"&amp; ADDRESS(savings_max_row,COLUMN())))</f>
        <v>0</v>
      </c>
      <c r="EF58" s="18" cm="1">
        <f t="array" aca="1" ref="EF58" ca="1">SUM(INDIRECT(ADDRESS(savings_min_row,COLUMN()) &amp;":"&amp; ADDRESS(savings_max_row,COLUMN())))</f>
        <v>0</v>
      </c>
      <c r="EG58" s="18" cm="1">
        <f t="array" aca="1" ref="EG58" ca="1">SUM(INDIRECT(ADDRESS(savings_min_row,COLUMN()) &amp;":"&amp; ADDRESS(savings_max_row,COLUMN())))</f>
        <v>0</v>
      </c>
      <c r="EH58" s="18" cm="1">
        <f t="array" aca="1" ref="EH58" ca="1">SUM(INDIRECT(ADDRESS(savings_min_row,COLUMN()) &amp;":"&amp; ADDRESS(savings_max_row,COLUMN())))</f>
        <v>0</v>
      </c>
      <c r="EI58" s="18" cm="1">
        <f t="array" aca="1" ref="EI58" ca="1">SUM(INDIRECT(ADDRESS(savings_min_row,COLUMN()) &amp;":"&amp; ADDRESS(savings_max_row,COLUMN())))</f>
        <v>0</v>
      </c>
      <c r="EJ58" s="18" cm="1">
        <f t="array" aca="1" ref="EJ58" ca="1">SUM(INDIRECT(ADDRESS(savings_min_row,COLUMN()) &amp;":"&amp; ADDRESS(savings_max_row,COLUMN())))</f>
        <v>0</v>
      </c>
      <c r="EK58" s="18" cm="1">
        <f t="array" aca="1" ref="EK58" ca="1">SUM(INDIRECT(ADDRESS(savings_min_row,COLUMN()) &amp;":"&amp; ADDRESS(savings_max_row,COLUMN())))</f>
        <v>0</v>
      </c>
      <c r="EL58" s="18" cm="1">
        <f t="array" aca="1" ref="EL58" ca="1">SUM(INDIRECT(ADDRESS(savings_min_row,COLUMN()) &amp;":"&amp; ADDRESS(savings_max_row,COLUMN())))</f>
        <v>0</v>
      </c>
      <c r="EM58" s="18" cm="1">
        <f t="array" aca="1" ref="EM58" ca="1">SUM(INDIRECT(ADDRESS(savings_min_row,COLUMN()) &amp;":"&amp; ADDRESS(savings_max_row,COLUMN())))</f>
        <v>0</v>
      </c>
      <c r="EO58" s="18" cm="1">
        <f t="array" aca="1" ref="EO58" ca="1">SUM(INDIRECT(ADDRESS(savings_min_row,COLUMN()) &amp;":"&amp; ADDRESS(savings_max_row,COLUMN())))</f>
        <v>0</v>
      </c>
      <c r="EP58" s="18" cm="1">
        <f t="array" aca="1" ref="EP58" ca="1">SUM(INDIRECT(ADDRESS(savings_min_row,COLUMN()) &amp;":"&amp; ADDRESS(savings_max_row,COLUMN())))</f>
        <v>0</v>
      </c>
      <c r="EQ58" s="18" cm="1">
        <f t="array" aca="1" ref="EQ58" ca="1">SUM(INDIRECT(ADDRESS(savings_min_row,COLUMN()) &amp;":"&amp; ADDRESS(savings_max_row,COLUMN())))</f>
        <v>0</v>
      </c>
      <c r="ER58" s="18" cm="1">
        <f t="array" aca="1" ref="ER58" ca="1">SUM(INDIRECT(ADDRESS(savings_min_row,COLUMN()) &amp;":"&amp; ADDRESS(savings_max_row,COLUMN())))</f>
        <v>0</v>
      </c>
      <c r="ES58" s="18" cm="1">
        <f t="array" aca="1" ref="ES58" ca="1">SUM(INDIRECT(ADDRESS(savings_min_row,COLUMN()) &amp;":"&amp; ADDRESS(savings_max_row,COLUMN())))</f>
        <v>0</v>
      </c>
      <c r="ET58" s="18" cm="1">
        <f t="array" aca="1" ref="ET58" ca="1">SUM(INDIRECT(ADDRESS(savings_min_row,COLUMN()) &amp;":"&amp; ADDRESS(savings_max_row,COLUMN())))</f>
        <v>0</v>
      </c>
      <c r="EU58" s="18" cm="1">
        <f t="array" aca="1" ref="EU58" ca="1">SUM(INDIRECT(ADDRESS(savings_min_row,COLUMN()) &amp;":"&amp; ADDRESS(savings_max_row,COLUMN())))</f>
        <v>0</v>
      </c>
      <c r="EV58" s="18" cm="1">
        <f t="array" aca="1" ref="EV58" ca="1">SUM(INDIRECT(ADDRESS(savings_min_row,COLUMN()) &amp;":"&amp; ADDRESS(savings_max_row,COLUMN())))</f>
        <v>0</v>
      </c>
      <c r="EW58" s="18" cm="1">
        <f t="array" aca="1" ref="EW58" ca="1">SUM(INDIRECT(ADDRESS(savings_min_row,COLUMN()) &amp;":"&amp; ADDRESS(savings_max_row,COLUMN())))</f>
        <v>0</v>
      </c>
      <c r="EX58" s="18" cm="1">
        <f t="array" aca="1" ref="EX58" ca="1">SUM(INDIRECT(ADDRESS(savings_min_row,COLUMN()) &amp;":"&amp; ADDRESS(savings_max_row,COLUMN())))</f>
        <v>0</v>
      </c>
      <c r="EY58" s="18" cm="1">
        <f t="array" aca="1" ref="EY58" ca="1">SUM(INDIRECT(ADDRESS(savings_min_row,COLUMN()) &amp;":"&amp; ADDRESS(savings_max_row,COLUMN())))</f>
        <v>0</v>
      </c>
      <c r="EZ58" s="18" cm="1">
        <f t="array" aca="1" ref="EZ58" ca="1">SUM(INDIRECT(ADDRESS(savings_min_row,COLUMN()) &amp;":"&amp; ADDRESS(savings_max_row,COLUMN())))</f>
        <v>0</v>
      </c>
      <c r="FA58" s="18" cm="1">
        <f t="array" aca="1" ref="FA58" ca="1">SUM(INDIRECT(ADDRESS(savings_min_row,COLUMN()) &amp;":"&amp; ADDRESS(savings_max_row,COLUMN())))</f>
        <v>0</v>
      </c>
    </row>
  </sheetData>
  <mergeCells count="14">
    <mergeCell ref="EO5:FA5"/>
    <mergeCell ref="BV1:EP3"/>
    <mergeCell ref="EQ1:HK3"/>
    <mergeCell ref="BW5:CI5"/>
    <mergeCell ref="CK5:CW5"/>
    <mergeCell ref="CY5:DK5"/>
    <mergeCell ref="DM5:DY5"/>
    <mergeCell ref="EA5:EM5"/>
    <mergeCell ref="E5:Q5"/>
    <mergeCell ref="A1:BU3"/>
    <mergeCell ref="S5:AE5"/>
    <mergeCell ref="AG5:AS5"/>
    <mergeCell ref="AU5:BG5"/>
    <mergeCell ref="BI5:BU5"/>
  </mergeCells>
  <conditionalFormatting sqref="C10:C23 E10:Q23">
    <cfRule type="expression" dxfId="92" priority="66">
      <formula>ROW(A10)&lt;=income_max_row</formula>
    </cfRule>
  </conditionalFormatting>
  <conditionalFormatting sqref="C27:Q40">
    <cfRule type="expression" dxfId="91" priority="65">
      <formula>ROW(A27)&lt;=expenses_max_row</formula>
    </cfRule>
  </conditionalFormatting>
  <conditionalFormatting sqref="C44:Q57">
    <cfRule type="expression" dxfId="90" priority="68">
      <formula>ROW(A39)&lt;=savings_max_row</formula>
    </cfRule>
  </conditionalFormatting>
  <conditionalFormatting sqref="E6:Q7">
    <cfRule type="expression" dxfId="89" priority="63">
      <formula>E$7&lt;0</formula>
    </cfRule>
    <cfRule type="expression" dxfId="88" priority="62" stopIfTrue="1">
      <formula>E$7=0</formula>
    </cfRule>
    <cfRule type="expression" dxfId="87" priority="61" stopIfTrue="1">
      <formula>AND(E$24=0, E$41=0, E$58=0)</formula>
    </cfRule>
  </conditionalFormatting>
  <conditionalFormatting sqref="S6:AE7">
    <cfRule type="expression" dxfId="86" priority="57">
      <formula>S$7&lt;0</formula>
    </cfRule>
    <cfRule type="expression" dxfId="85" priority="56" stopIfTrue="1">
      <formula>S$7=0</formula>
    </cfRule>
    <cfRule type="expression" dxfId="84" priority="55" stopIfTrue="1">
      <formula>AND(S$24=0, S$41=0, S$58=0)</formula>
    </cfRule>
  </conditionalFormatting>
  <conditionalFormatting sqref="S10:AE23">
    <cfRule type="expression" dxfId="83" priority="59">
      <formula>ROW(Q10)&lt;=income_max_row</formula>
    </cfRule>
  </conditionalFormatting>
  <conditionalFormatting sqref="S27:AE40">
    <cfRule type="expression" dxfId="82" priority="58">
      <formula>ROW(Q27)&lt;=expenses_max_row</formula>
    </cfRule>
  </conditionalFormatting>
  <conditionalFormatting sqref="S44:AE57">
    <cfRule type="expression" dxfId="81" priority="60">
      <formula>ROW(Q39)&lt;=savings_max_row</formula>
    </cfRule>
  </conditionalFormatting>
  <conditionalFormatting sqref="AG6:AS7">
    <cfRule type="expression" dxfId="80" priority="51">
      <formula>AG$7&lt;0</formula>
    </cfRule>
    <cfRule type="expression" dxfId="79" priority="49" stopIfTrue="1">
      <formula>AND(AG$24=0, AG$41=0, AG$58=0)</formula>
    </cfRule>
    <cfRule type="expression" dxfId="78" priority="50" stopIfTrue="1">
      <formula>AG$7=0</formula>
    </cfRule>
  </conditionalFormatting>
  <conditionalFormatting sqref="AG10:AS23">
    <cfRule type="expression" dxfId="77" priority="53">
      <formula>ROW(AE10)&lt;=income_max_row</formula>
    </cfRule>
  </conditionalFormatting>
  <conditionalFormatting sqref="AG27:AS40">
    <cfRule type="expression" dxfId="76" priority="52">
      <formula>ROW(AE27)&lt;=expenses_max_row</formula>
    </cfRule>
  </conditionalFormatting>
  <conditionalFormatting sqref="AG44:AS57">
    <cfRule type="expression" dxfId="75" priority="54">
      <formula>ROW(AE39)&lt;=savings_max_row</formula>
    </cfRule>
  </conditionalFormatting>
  <conditionalFormatting sqref="AU6:BG7">
    <cfRule type="expression" dxfId="74" priority="45">
      <formula>AU$7&lt;0</formula>
    </cfRule>
    <cfRule type="expression" dxfId="73" priority="44" stopIfTrue="1">
      <formula>AU$7=0</formula>
    </cfRule>
    <cfRule type="expression" dxfId="72" priority="43" stopIfTrue="1">
      <formula>AND(AU$24=0, AU$41=0, AU$58=0)</formula>
    </cfRule>
  </conditionalFormatting>
  <conditionalFormatting sqref="AU10:BG23">
    <cfRule type="expression" dxfId="71" priority="47">
      <formula>ROW(AS10)&lt;=income_max_row</formula>
    </cfRule>
  </conditionalFormatting>
  <conditionalFormatting sqref="AU27:BG40">
    <cfRule type="expression" dxfId="70" priority="46">
      <formula>ROW(AS27)&lt;=expenses_max_row</formula>
    </cfRule>
  </conditionalFormatting>
  <conditionalFormatting sqref="AU44:BG57">
    <cfRule type="expression" dxfId="69" priority="48">
      <formula>ROW(AS39)&lt;=savings_max_row</formula>
    </cfRule>
  </conditionalFormatting>
  <conditionalFormatting sqref="BI6:BU7">
    <cfRule type="expression" dxfId="68" priority="39">
      <formula>BI$7&lt;0</formula>
    </cfRule>
    <cfRule type="expression" dxfId="67" priority="38" stopIfTrue="1">
      <formula>BI$7=0</formula>
    </cfRule>
    <cfRule type="expression" dxfId="66" priority="37" stopIfTrue="1">
      <formula>AND(BI$24=0, BI$41=0, BI$58=0)</formula>
    </cfRule>
  </conditionalFormatting>
  <conditionalFormatting sqref="BI10:BU23">
    <cfRule type="expression" dxfId="65" priority="41">
      <formula>ROW(BG10)&lt;=income_max_row</formula>
    </cfRule>
  </conditionalFormatting>
  <conditionalFormatting sqref="BI27:BU40">
    <cfRule type="expression" dxfId="64" priority="40">
      <formula>ROW(BG27)&lt;=expenses_max_row</formula>
    </cfRule>
  </conditionalFormatting>
  <conditionalFormatting sqref="BI44:BU57">
    <cfRule type="expression" dxfId="63" priority="42">
      <formula>ROW(BG39)&lt;=savings_max_row</formula>
    </cfRule>
  </conditionalFormatting>
  <conditionalFormatting sqref="BW6:CI7">
    <cfRule type="expression" dxfId="62" priority="31" stopIfTrue="1">
      <formula>AND(BW$24=0, BW$41=0, BW$58=0)</formula>
    </cfRule>
    <cfRule type="expression" dxfId="61" priority="32" stopIfTrue="1">
      <formula>BW$7=0</formula>
    </cfRule>
    <cfRule type="expression" dxfId="60" priority="33">
      <formula>BW$7&lt;0</formula>
    </cfRule>
  </conditionalFormatting>
  <conditionalFormatting sqref="BW10:CI23">
    <cfRule type="expression" dxfId="59" priority="35">
      <formula>ROW(BU10)&lt;=income_max_row</formula>
    </cfRule>
  </conditionalFormatting>
  <conditionalFormatting sqref="BW27:CI40">
    <cfRule type="expression" dxfId="58" priority="34">
      <formula>ROW(BU27)&lt;=expenses_max_row</formula>
    </cfRule>
  </conditionalFormatting>
  <conditionalFormatting sqref="BW44:CI57">
    <cfRule type="expression" dxfId="57" priority="36">
      <formula>ROW(BU39)&lt;=savings_max_row</formula>
    </cfRule>
  </conditionalFormatting>
  <conditionalFormatting sqref="CK6:CW7">
    <cfRule type="expression" dxfId="56" priority="27">
      <formula>CK$7&lt;0</formula>
    </cfRule>
    <cfRule type="expression" dxfId="55" priority="25" stopIfTrue="1">
      <formula>AND(CK$24=0, CK$41=0, CK$58=0)</formula>
    </cfRule>
    <cfRule type="expression" dxfId="54" priority="26" stopIfTrue="1">
      <formula>CK$7=0</formula>
    </cfRule>
  </conditionalFormatting>
  <conditionalFormatting sqref="CK10:CW23">
    <cfRule type="expression" dxfId="53" priority="29">
      <formula>ROW(CI10)&lt;=income_max_row</formula>
    </cfRule>
  </conditionalFormatting>
  <conditionalFormatting sqref="CK27:CW40">
    <cfRule type="expression" dxfId="52" priority="28">
      <formula>ROW(CI27)&lt;=expenses_max_row</formula>
    </cfRule>
  </conditionalFormatting>
  <conditionalFormatting sqref="CK44:CW57">
    <cfRule type="expression" dxfId="51" priority="30">
      <formula>ROW(CI39)&lt;=savings_max_row</formula>
    </cfRule>
  </conditionalFormatting>
  <conditionalFormatting sqref="CY6:DK7">
    <cfRule type="expression" dxfId="50" priority="21">
      <formula>CY$7&lt;0</formula>
    </cfRule>
    <cfRule type="expression" dxfId="49" priority="20" stopIfTrue="1">
      <formula>CY$7=0</formula>
    </cfRule>
    <cfRule type="expression" dxfId="48" priority="19" stopIfTrue="1">
      <formula>AND(CY$24=0, CY$41=0, CY$58=0)</formula>
    </cfRule>
  </conditionalFormatting>
  <conditionalFormatting sqref="CY10:DK23">
    <cfRule type="expression" dxfId="47" priority="23">
      <formula>ROW(CW10)&lt;=income_max_row</formula>
    </cfRule>
  </conditionalFormatting>
  <conditionalFormatting sqref="CY27:DK40">
    <cfRule type="expression" dxfId="46" priority="22">
      <formula>ROW(CW27)&lt;=expenses_max_row</formula>
    </cfRule>
  </conditionalFormatting>
  <conditionalFormatting sqref="CY44:DK57">
    <cfRule type="expression" dxfId="45" priority="24">
      <formula>ROW(CW39)&lt;=savings_max_row</formula>
    </cfRule>
  </conditionalFormatting>
  <conditionalFormatting sqref="DM6:DY7">
    <cfRule type="expression" dxfId="44" priority="15">
      <formula>DM$7&lt;0</formula>
    </cfRule>
    <cfRule type="expression" dxfId="43" priority="14" stopIfTrue="1">
      <formula>DM$7=0</formula>
    </cfRule>
    <cfRule type="expression" dxfId="42" priority="13" stopIfTrue="1">
      <formula>AND(DM$24=0, DM$41=0, DM$58=0)</formula>
    </cfRule>
  </conditionalFormatting>
  <conditionalFormatting sqref="DM10:DY23">
    <cfRule type="expression" dxfId="41" priority="17">
      <formula>ROW(DK10)&lt;=income_max_row</formula>
    </cfRule>
  </conditionalFormatting>
  <conditionalFormatting sqref="DM27:DY40">
    <cfRule type="expression" dxfId="40" priority="16">
      <formula>ROW(DK27)&lt;=expenses_max_row</formula>
    </cfRule>
  </conditionalFormatting>
  <conditionalFormatting sqref="DM44:DY57">
    <cfRule type="expression" dxfId="39" priority="18">
      <formula>ROW(DK39)&lt;=savings_max_row</formula>
    </cfRule>
  </conditionalFormatting>
  <conditionalFormatting sqref="EA6:EM7">
    <cfRule type="expression" dxfId="38" priority="8" stopIfTrue="1">
      <formula>EA$7=0</formula>
    </cfRule>
    <cfRule type="expression" dxfId="37" priority="9">
      <formula>EA$7&lt;0</formula>
    </cfRule>
    <cfRule type="expression" dxfId="36" priority="7" stopIfTrue="1">
      <formula>AND(EA$24=0, EA$41=0, EA$58=0)</formula>
    </cfRule>
  </conditionalFormatting>
  <conditionalFormatting sqref="EA10:EM23">
    <cfRule type="expression" dxfId="35" priority="11">
      <formula>ROW(DY10)&lt;=income_max_row</formula>
    </cfRule>
  </conditionalFormatting>
  <conditionalFormatting sqref="EA27:EM40">
    <cfRule type="expression" dxfId="34" priority="10">
      <formula>ROW(DY27)&lt;=expenses_max_row</formula>
    </cfRule>
  </conditionalFormatting>
  <conditionalFormatting sqref="EA44:EM57">
    <cfRule type="expression" dxfId="33" priority="12">
      <formula>ROW(DY39)&lt;=savings_max_row</formula>
    </cfRule>
  </conditionalFormatting>
  <conditionalFormatting sqref="EO6:FA7">
    <cfRule type="expression" dxfId="32" priority="1" stopIfTrue="1">
      <formula>AND(EO$24=0, EO$41=0, EO$58=0)</formula>
    </cfRule>
    <cfRule type="expression" dxfId="31" priority="3">
      <formula>EO$7&lt;0</formula>
    </cfRule>
    <cfRule type="expression" dxfId="30" priority="2" stopIfTrue="1">
      <formula>EO$7=0</formula>
    </cfRule>
  </conditionalFormatting>
  <conditionalFormatting sqref="EO10:FA23">
    <cfRule type="expression" dxfId="29" priority="5">
      <formula>ROW(EM10)&lt;=income_max_row</formula>
    </cfRule>
  </conditionalFormatting>
  <conditionalFormatting sqref="EO27:FA40">
    <cfRule type="expression" dxfId="28" priority="4">
      <formula>ROW(EM27)&lt;=expenses_max_row</formula>
    </cfRule>
  </conditionalFormatting>
  <conditionalFormatting sqref="EO44:FA57">
    <cfRule type="expression" dxfId="27" priority="6">
      <formula>ROW(EM39)&lt;=savings_max_row</formula>
    </cfRule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CFD48-AC5D-4D1D-B6A1-29BEEAE965B9}">
  <dimension ref="A1:FA48"/>
  <sheetViews>
    <sheetView showGridLines="0" workbookViewId="0">
      <pane ySplit="11" topLeftCell="A36" activePane="bottomLeft" state="frozen"/>
      <selection pane="bottomLeft" activeCell="C48" sqref="C48"/>
    </sheetView>
  </sheetViews>
  <sheetFormatPr defaultRowHeight="15" x14ac:dyDescent="0.25"/>
  <cols>
    <col min="2" max="2" width="3" customWidth="1"/>
    <col min="3" max="7" width="34.140625" style="45" customWidth="1"/>
    <col min="8" max="8" width="11.5703125" bestFit="1" customWidth="1"/>
  </cols>
  <sheetData>
    <row r="1" spans="1:157" x14ac:dyDescent="0.25">
      <c r="A1" s="112" t="s">
        <v>36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3"/>
      <c r="AO1" s="113"/>
      <c r="AP1" s="113"/>
      <c r="AQ1" s="113"/>
      <c r="AR1" s="113"/>
      <c r="AS1" s="113"/>
      <c r="AT1" s="113"/>
      <c r="AU1" s="113"/>
      <c r="AV1" s="113"/>
      <c r="AW1" s="113"/>
      <c r="AX1" s="113"/>
      <c r="AY1" s="113"/>
      <c r="AZ1" s="113"/>
      <c r="BA1" s="113"/>
      <c r="BB1" s="113"/>
      <c r="BC1" s="113"/>
      <c r="BD1" s="113"/>
      <c r="BE1" s="113"/>
      <c r="BF1" s="113"/>
      <c r="BG1" s="113"/>
      <c r="BH1" s="113"/>
      <c r="BI1" s="113"/>
      <c r="BJ1" s="113"/>
      <c r="BK1" s="113"/>
      <c r="BL1" s="113"/>
      <c r="BM1" s="113"/>
      <c r="BN1" s="113"/>
      <c r="BO1" s="113"/>
      <c r="BP1" s="113"/>
      <c r="BQ1" s="113"/>
      <c r="BR1" s="113"/>
      <c r="BS1" s="113"/>
      <c r="BT1" s="113"/>
      <c r="BU1" s="113"/>
      <c r="BV1" s="113"/>
      <c r="BW1" s="113"/>
      <c r="BX1" s="113"/>
      <c r="BY1" s="113"/>
      <c r="BZ1" s="113"/>
      <c r="CA1" s="113"/>
      <c r="CB1" s="113"/>
      <c r="CC1" s="113"/>
      <c r="CD1" s="113"/>
      <c r="CE1" s="113"/>
      <c r="CF1" s="113"/>
      <c r="CG1" s="113"/>
      <c r="CH1" s="113"/>
      <c r="CI1" s="113"/>
      <c r="CJ1" s="113"/>
      <c r="CK1" s="113"/>
      <c r="CL1" s="113"/>
      <c r="CM1" s="113"/>
      <c r="CN1" s="113"/>
      <c r="CO1" s="113"/>
      <c r="CP1" s="113"/>
      <c r="CQ1" s="113"/>
      <c r="CR1" s="113"/>
      <c r="CS1" s="113"/>
      <c r="CT1" s="113"/>
      <c r="CU1" s="113"/>
      <c r="CV1" s="113"/>
      <c r="CW1" s="113"/>
      <c r="CX1" s="113"/>
      <c r="CY1" s="113"/>
      <c r="CZ1" s="113"/>
      <c r="DA1" s="113"/>
      <c r="DB1" s="113"/>
      <c r="DC1" s="113"/>
      <c r="DD1" s="113"/>
      <c r="DE1" s="113"/>
      <c r="DF1" s="113"/>
      <c r="DG1" s="113"/>
      <c r="DH1" s="113"/>
      <c r="DI1" s="113"/>
      <c r="DJ1" s="113"/>
      <c r="DK1" s="113"/>
      <c r="DL1" s="113"/>
      <c r="DM1" s="113"/>
      <c r="DN1" s="113"/>
      <c r="DO1" s="113"/>
      <c r="DP1" s="113"/>
      <c r="DQ1" s="113"/>
      <c r="DR1" s="113"/>
      <c r="DS1" s="113"/>
      <c r="DT1" s="113"/>
      <c r="DU1" s="113"/>
      <c r="DV1" s="113"/>
      <c r="DW1" s="113"/>
      <c r="DX1" s="113"/>
      <c r="DY1" s="113"/>
      <c r="DZ1" s="113"/>
      <c r="EA1" s="113"/>
      <c r="EB1" s="113"/>
      <c r="EC1" s="113"/>
      <c r="ED1" s="113"/>
      <c r="EE1" s="113"/>
      <c r="EF1" s="113"/>
      <c r="EG1" s="113"/>
      <c r="EH1" s="113"/>
      <c r="EI1" s="113"/>
      <c r="EJ1" s="113"/>
      <c r="EK1" s="113"/>
      <c r="EL1" s="113"/>
      <c r="EM1" s="113"/>
      <c r="EN1" s="113"/>
      <c r="EO1" s="113"/>
      <c r="EP1" s="113"/>
      <c r="EQ1" s="113"/>
      <c r="ER1" s="113"/>
      <c r="ES1" s="113"/>
      <c r="ET1" s="113"/>
      <c r="EU1" s="113"/>
      <c r="EV1" s="113"/>
      <c r="EW1" s="113"/>
      <c r="EX1" s="113"/>
      <c r="EY1" s="113"/>
      <c r="EZ1" s="113"/>
      <c r="FA1" s="113"/>
    </row>
    <row r="2" spans="1:157" x14ac:dyDescent="0.25">
      <c r="A2" s="113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113"/>
      <c r="AM2" s="113"/>
      <c r="AN2" s="113"/>
      <c r="AO2" s="113"/>
      <c r="AP2" s="113"/>
      <c r="AQ2" s="113"/>
      <c r="AR2" s="113"/>
      <c r="AS2" s="113"/>
      <c r="AT2" s="113"/>
      <c r="AU2" s="113"/>
      <c r="AV2" s="113"/>
      <c r="AW2" s="113"/>
      <c r="AX2" s="113"/>
      <c r="AY2" s="113"/>
      <c r="AZ2" s="113"/>
      <c r="BA2" s="113"/>
      <c r="BB2" s="113"/>
      <c r="BC2" s="113"/>
      <c r="BD2" s="113"/>
      <c r="BE2" s="113"/>
      <c r="BF2" s="113"/>
      <c r="BG2" s="113"/>
      <c r="BH2" s="113"/>
      <c r="BI2" s="113"/>
      <c r="BJ2" s="113"/>
      <c r="BK2" s="113"/>
      <c r="BL2" s="113"/>
      <c r="BM2" s="113"/>
      <c r="BN2" s="113"/>
      <c r="BO2" s="113"/>
      <c r="BP2" s="113"/>
      <c r="BQ2" s="113"/>
      <c r="BR2" s="113"/>
      <c r="BS2" s="113"/>
      <c r="BT2" s="113"/>
      <c r="BU2" s="113"/>
      <c r="BV2" s="113"/>
      <c r="BW2" s="113"/>
      <c r="BX2" s="113"/>
      <c r="BY2" s="113"/>
      <c r="BZ2" s="113"/>
      <c r="CA2" s="113"/>
      <c r="CB2" s="113"/>
      <c r="CC2" s="113"/>
      <c r="CD2" s="113"/>
      <c r="CE2" s="113"/>
      <c r="CF2" s="113"/>
      <c r="CG2" s="113"/>
      <c r="CH2" s="113"/>
      <c r="CI2" s="113"/>
      <c r="CJ2" s="113"/>
      <c r="CK2" s="113"/>
      <c r="CL2" s="113"/>
      <c r="CM2" s="113"/>
      <c r="CN2" s="113"/>
      <c r="CO2" s="113"/>
      <c r="CP2" s="113"/>
      <c r="CQ2" s="113"/>
      <c r="CR2" s="113"/>
      <c r="CS2" s="113"/>
      <c r="CT2" s="113"/>
      <c r="CU2" s="113"/>
      <c r="CV2" s="113"/>
      <c r="CW2" s="113"/>
      <c r="CX2" s="113"/>
      <c r="CY2" s="113"/>
      <c r="CZ2" s="113"/>
      <c r="DA2" s="113"/>
      <c r="DB2" s="113"/>
      <c r="DC2" s="113"/>
      <c r="DD2" s="113"/>
      <c r="DE2" s="113"/>
      <c r="DF2" s="113"/>
      <c r="DG2" s="113"/>
      <c r="DH2" s="113"/>
      <c r="DI2" s="113"/>
      <c r="DJ2" s="113"/>
      <c r="DK2" s="113"/>
      <c r="DL2" s="113"/>
      <c r="DM2" s="113"/>
      <c r="DN2" s="113"/>
      <c r="DO2" s="113"/>
      <c r="DP2" s="113"/>
      <c r="DQ2" s="113"/>
      <c r="DR2" s="113"/>
      <c r="DS2" s="113"/>
      <c r="DT2" s="113"/>
      <c r="DU2" s="113"/>
      <c r="DV2" s="113"/>
      <c r="DW2" s="113"/>
      <c r="DX2" s="113"/>
      <c r="DY2" s="113"/>
      <c r="DZ2" s="113"/>
      <c r="EA2" s="113"/>
      <c r="EB2" s="113"/>
      <c r="EC2" s="113"/>
      <c r="ED2" s="113"/>
      <c r="EE2" s="113"/>
      <c r="EF2" s="113"/>
      <c r="EG2" s="113"/>
      <c r="EH2" s="113"/>
      <c r="EI2" s="113"/>
      <c r="EJ2" s="113"/>
      <c r="EK2" s="113"/>
      <c r="EL2" s="113"/>
      <c r="EM2" s="113"/>
      <c r="EN2" s="113"/>
      <c r="EO2" s="113"/>
      <c r="EP2" s="113"/>
      <c r="EQ2" s="113"/>
      <c r="ER2" s="113"/>
      <c r="ES2" s="113"/>
      <c r="ET2" s="113"/>
      <c r="EU2" s="113"/>
      <c r="EV2" s="113"/>
      <c r="EW2" s="113"/>
      <c r="EX2" s="113"/>
      <c r="EY2" s="113"/>
      <c r="EZ2" s="113"/>
      <c r="FA2" s="113"/>
    </row>
    <row r="3" spans="1:157" x14ac:dyDescent="0.25">
      <c r="A3" s="113"/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  <c r="AC3" s="113"/>
      <c r="AD3" s="113"/>
      <c r="AE3" s="113"/>
      <c r="AF3" s="113"/>
      <c r="AG3" s="113"/>
      <c r="AH3" s="113"/>
      <c r="AI3" s="113"/>
      <c r="AJ3" s="113"/>
      <c r="AK3" s="113"/>
      <c r="AL3" s="113"/>
      <c r="AM3" s="113"/>
      <c r="AN3" s="113"/>
      <c r="AO3" s="113"/>
      <c r="AP3" s="113"/>
      <c r="AQ3" s="113"/>
      <c r="AR3" s="113"/>
      <c r="AS3" s="113"/>
      <c r="AT3" s="113"/>
      <c r="AU3" s="113"/>
      <c r="AV3" s="113"/>
      <c r="AW3" s="113"/>
      <c r="AX3" s="113"/>
      <c r="AY3" s="113"/>
      <c r="AZ3" s="113"/>
      <c r="BA3" s="113"/>
      <c r="BB3" s="113"/>
      <c r="BC3" s="113"/>
      <c r="BD3" s="113"/>
      <c r="BE3" s="113"/>
      <c r="BF3" s="113"/>
      <c r="BG3" s="113"/>
      <c r="BH3" s="113"/>
      <c r="BI3" s="113"/>
      <c r="BJ3" s="113"/>
      <c r="BK3" s="113"/>
      <c r="BL3" s="113"/>
      <c r="BM3" s="113"/>
      <c r="BN3" s="113"/>
      <c r="BO3" s="113"/>
      <c r="BP3" s="113"/>
      <c r="BQ3" s="113"/>
      <c r="BR3" s="113"/>
      <c r="BS3" s="113"/>
      <c r="BT3" s="113"/>
      <c r="BU3" s="113"/>
      <c r="BV3" s="113"/>
      <c r="BW3" s="113"/>
      <c r="BX3" s="113"/>
      <c r="BY3" s="113"/>
      <c r="BZ3" s="113"/>
      <c r="CA3" s="113"/>
      <c r="CB3" s="113"/>
      <c r="CC3" s="113"/>
      <c r="CD3" s="113"/>
      <c r="CE3" s="113"/>
      <c r="CF3" s="113"/>
      <c r="CG3" s="113"/>
      <c r="CH3" s="113"/>
      <c r="CI3" s="113"/>
      <c r="CJ3" s="113"/>
      <c r="CK3" s="113"/>
      <c r="CL3" s="113"/>
      <c r="CM3" s="113"/>
      <c r="CN3" s="113"/>
      <c r="CO3" s="113"/>
      <c r="CP3" s="113"/>
      <c r="CQ3" s="113"/>
      <c r="CR3" s="113"/>
      <c r="CS3" s="113"/>
      <c r="CT3" s="113"/>
      <c r="CU3" s="113"/>
      <c r="CV3" s="113"/>
      <c r="CW3" s="113"/>
      <c r="CX3" s="113"/>
      <c r="CY3" s="113"/>
      <c r="CZ3" s="113"/>
      <c r="DA3" s="113"/>
      <c r="DB3" s="113"/>
      <c r="DC3" s="113"/>
      <c r="DD3" s="113"/>
      <c r="DE3" s="113"/>
      <c r="DF3" s="113"/>
      <c r="DG3" s="113"/>
      <c r="DH3" s="113"/>
      <c r="DI3" s="113"/>
      <c r="DJ3" s="113"/>
      <c r="DK3" s="113"/>
      <c r="DL3" s="113"/>
      <c r="DM3" s="113"/>
      <c r="DN3" s="113"/>
      <c r="DO3" s="113"/>
      <c r="DP3" s="113"/>
      <c r="DQ3" s="113"/>
      <c r="DR3" s="113"/>
      <c r="DS3" s="113"/>
      <c r="DT3" s="113"/>
      <c r="DU3" s="113"/>
      <c r="DV3" s="113"/>
      <c r="DW3" s="113"/>
      <c r="DX3" s="113"/>
      <c r="DY3" s="113"/>
      <c r="DZ3" s="113"/>
      <c r="EA3" s="113"/>
      <c r="EB3" s="113"/>
      <c r="EC3" s="113"/>
      <c r="ED3" s="113"/>
      <c r="EE3" s="113"/>
      <c r="EF3" s="113"/>
      <c r="EG3" s="113"/>
      <c r="EH3" s="113"/>
      <c r="EI3" s="113"/>
      <c r="EJ3" s="113"/>
      <c r="EK3" s="113"/>
      <c r="EL3" s="113"/>
      <c r="EM3" s="113"/>
      <c r="EN3" s="113"/>
      <c r="EO3" s="113"/>
      <c r="EP3" s="113"/>
      <c r="EQ3" s="113"/>
      <c r="ER3" s="113"/>
      <c r="ES3" s="113"/>
      <c r="ET3" s="113"/>
      <c r="EU3" s="113"/>
      <c r="EV3" s="113"/>
      <c r="EW3" s="113"/>
      <c r="EX3" s="113"/>
      <c r="EY3" s="113"/>
      <c r="EZ3" s="113"/>
      <c r="FA3" s="113"/>
    </row>
    <row r="6" spans="1:157" x14ac:dyDescent="0.25">
      <c r="D6" s="45" t="s">
        <v>54</v>
      </c>
    </row>
    <row r="11" spans="1:157" x14ac:dyDescent="0.25">
      <c r="C11" s="45" t="s">
        <v>37</v>
      </c>
      <c r="D11" s="45" t="s">
        <v>38</v>
      </c>
      <c r="E11" s="45" t="s">
        <v>39</v>
      </c>
      <c r="F11" s="45" t="s">
        <v>40</v>
      </c>
      <c r="G11" s="45" t="s">
        <v>41</v>
      </c>
      <c r="H11" s="28" t="s">
        <v>45</v>
      </c>
    </row>
    <row r="12" spans="1:157" x14ac:dyDescent="0.25">
      <c r="C12" s="46">
        <v>46025</v>
      </c>
      <c r="D12" s="47" t="s">
        <v>0</v>
      </c>
      <c r="E12" s="47" t="s">
        <v>9</v>
      </c>
      <c r="F12" s="48">
        <v>25000</v>
      </c>
      <c r="G12" s="49" t="s">
        <v>44</v>
      </c>
      <c r="H12" s="29" cm="1">
        <f t="array" ref="H12">SUMPRODUCT(Tracking[Amount],--(Tracking[Date]&lt;=Tracking[[#This Row],[Date]]),(Tracking[Type]&lt;&gt;"Income")*(-1)+(Tracking[Type]="Income"))</f>
        <v>25000</v>
      </c>
      <c r="J12" s="44"/>
      <c r="L12" s="44"/>
    </row>
    <row r="13" spans="1:157" x14ac:dyDescent="0.25">
      <c r="C13" s="46">
        <v>46026</v>
      </c>
      <c r="D13" s="47" t="s">
        <v>43</v>
      </c>
      <c r="E13" s="47" t="s">
        <v>20</v>
      </c>
      <c r="F13" s="48">
        <v>3000</v>
      </c>
      <c r="G13" s="49"/>
      <c r="H13" s="29" cm="1">
        <f t="array" ref="H13">SUMPRODUCT(Tracking[Amount],--(Tracking[Date]&lt;=Tracking[[#This Row],[Date]]),(Tracking[Type]&lt;&gt;"Income")*(-1)+(Tracking[Type]="Income"))</f>
        <v>22000</v>
      </c>
    </row>
    <row r="14" spans="1:157" x14ac:dyDescent="0.25">
      <c r="C14" s="46">
        <v>46027</v>
      </c>
      <c r="D14" s="47" t="s">
        <v>42</v>
      </c>
      <c r="E14" s="47" t="s">
        <v>15</v>
      </c>
      <c r="F14" s="48">
        <v>2450</v>
      </c>
      <c r="G14" s="49"/>
      <c r="H14" s="29" cm="1">
        <f t="array" ref="H14">SUMPRODUCT(Tracking[Amount],--(Tracking[Date]&lt;=Tracking[[#This Row],[Date]]),(Tracking[Type]&lt;&gt;"Income")*(-1)+(Tracking[Type]="Income"))</f>
        <v>19550</v>
      </c>
    </row>
    <row r="15" spans="1:157" x14ac:dyDescent="0.25">
      <c r="C15" s="46">
        <v>46029</v>
      </c>
      <c r="D15" s="47" t="s">
        <v>42</v>
      </c>
      <c r="E15" s="47" t="s">
        <v>26</v>
      </c>
      <c r="F15" s="48">
        <v>1050</v>
      </c>
      <c r="G15" s="49"/>
      <c r="H15" s="29" cm="1">
        <f t="array" ref="H15">SUMPRODUCT(Tracking[Amount],--(Tracking[Date]&lt;=Tracking[[#This Row],[Date]]),(Tracking[Type]&lt;&gt;"Income")*(-1)+(Tracking[Type]="Income"))</f>
        <v>18500</v>
      </c>
    </row>
    <row r="16" spans="1:157" x14ac:dyDescent="0.25">
      <c r="C16" s="46">
        <v>46030</v>
      </c>
      <c r="D16" s="47" t="s">
        <v>0</v>
      </c>
      <c r="E16" s="47" t="s">
        <v>11</v>
      </c>
      <c r="F16" s="48">
        <v>475</v>
      </c>
      <c r="G16" s="49"/>
      <c r="H16" s="29" cm="1">
        <f t="array" ref="H16">SUMPRODUCT(Tracking[Amount],--(Tracking[Date]&lt;=Tracking[[#This Row],[Date]]),(Tracking[Type]&lt;&gt;"Income")*(-1)+(Tracking[Type]="Income"))</f>
        <v>18975</v>
      </c>
    </row>
    <row r="17" spans="3:8" x14ac:dyDescent="0.25">
      <c r="C17" s="46">
        <v>46031</v>
      </c>
      <c r="D17" s="47" t="s">
        <v>0</v>
      </c>
      <c r="E17" s="47" t="s">
        <v>10</v>
      </c>
      <c r="F17" s="48">
        <v>8766</v>
      </c>
      <c r="G17" s="49"/>
      <c r="H17" s="29" cm="1">
        <f t="array" ref="H17">SUMPRODUCT(Tracking[Amount],--(Tracking[Date]&lt;=Tracking[[#This Row],[Date]]),(Tracking[Type]&lt;&gt;"Income")*(-1)+(Tracking[Type]="Income"))</f>
        <v>27741</v>
      </c>
    </row>
    <row r="18" spans="3:8" x14ac:dyDescent="0.25">
      <c r="C18" s="46">
        <v>46032</v>
      </c>
      <c r="D18" s="47" t="s">
        <v>0</v>
      </c>
      <c r="E18" s="47" t="s">
        <v>12</v>
      </c>
      <c r="F18" s="48">
        <v>922</v>
      </c>
      <c r="G18" s="49"/>
      <c r="H18" s="29" cm="1">
        <f t="array" ref="H18">SUMPRODUCT(Tracking[Amount],--(Tracking[Date]&lt;=Tracking[[#This Row],[Date]]),(Tracking[Type]&lt;&gt;"Income")*(-1)+(Tracking[Type]="Income"))</f>
        <v>28663</v>
      </c>
    </row>
    <row r="19" spans="3:8" x14ac:dyDescent="0.25">
      <c r="C19" s="46">
        <v>46033</v>
      </c>
      <c r="D19" s="47" t="s">
        <v>42</v>
      </c>
      <c r="E19" s="47" t="s">
        <v>31</v>
      </c>
      <c r="F19" s="48">
        <v>722</v>
      </c>
      <c r="G19" s="49"/>
      <c r="H19" s="29" cm="1">
        <f t="array" ref="H19">SUMPRODUCT(Tracking[Amount],--(Tracking[Date]&lt;=Tracking[[#This Row],[Date]]),(Tracking[Type]&lt;&gt;"Income")*(-1)+(Tracking[Type]="Income"))</f>
        <v>27941</v>
      </c>
    </row>
    <row r="20" spans="3:8" x14ac:dyDescent="0.25">
      <c r="C20" s="46">
        <v>46034</v>
      </c>
      <c r="D20" s="47" t="s">
        <v>42</v>
      </c>
      <c r="E20" s="47" t="s">
        <v>27</v>
      </c>
      <c r="F20" s="48">
        <v>1023</v>
      </c>
      <c r="G20" s="49"/>
      <c r="H20" s="29" cm="1">
        <f t="array" ref="H20">SUMPRODUCT(Tracking[Amount],--(Tracking[Date]&lt;=Tracking[[#This Row],[Date]]),(Tracking[Type]&lt;&gt;"Income")*(-1)+(Tracking[Type]="Income"))</f>
        <v>26918</v>
      </c>
    </row>
    <row r="21" spans="3:8" x14ac:dyDescent="0.25">
      <c r="C21" s="46">
        <v>46035</v>
      </c>
      <c r="D21" s="47" t="s">
        <v>42</v>
      </c>
      <c r="E21" s="47" t="s">
        <v>13</v>
      </c>
      <c r="F21" s="48">
        <v>8500</v>
      </c>
      <c r="G21" s="49"/>
      <c r="H21" s="29" cm="1">
        <f t="array" ref="H21">SUMPRODUCT(Tracking[Amount],--(Tracking[Date]&lt;=Tracking[[#This Row],[Date]]),(Tracking[Type]&lt;&gt;"Income")*(-1)+(Tracking[Type]="Income"))</f>
        <v>18418</v>
      </c>
    </row>
    <row r="22" spans="3:8" x14ac:dyDescent="0.25">
      <c r="C22" s="46">
        <v>46036</v>
      </c>
      <c r="D22" s="47" t="s">
        <v>42</v>
      </c>
      <c r="E22" s="47" t="s">
        <v>15</v>
      </c>
      <c r="F22" s="48">
        <v>12244</v>
      </c>
      <c r="G22" s="49"/>
      <c r="H22" s="29" cm="1">
        <f t="array" ref="H22">SUMPRODUCT(Tracking[Amount],--(Tracking[Date]&lt;=Tracking[[#This Row],[Date]]),(Tracking[Type]&lt;&gt;"Income")*(-1)+(Tracking[Type]="Income"))</f>
        <v>6174</v>
      </c>
    </row>
    <row r="23" spans="3:8" x14ac:dyDescent="0.25">
      <c r="C23" s="46">
        <v>46044</v>
      </c>
      <c r="D23" s="47" t="s">
        <v>42</v>
      </c>
      <c r="E23" s="47" t="s">
        <v>14</v>
      </c>
      <c r="F23" s="48">
        <v>3000</v>
      </c>
      <c r="G23" s="49"/>
      <c r="H23" s="29" cm="1">
        <f t="array" ref="H23">SUMPRODUCT(Tracking[Amount],--(Tracking[Date]&lt;=Tracking[[#This Row],[Date]]),(Tracking[Type]&lt;&gt;"Income")*(-1)+(Tracking[Type]="Income"))</f>
        <v>3174</v>
      </c>
    </row>
    <row r="24" spans="3:8" x14ac:dyDescent="0.25">
      <c r="C24" s="46">
        <v>46055</v>
      </c>
      <c r="D24" s="47" t="s">
        <v>0</v>
      </c>
      <c r="E24" s="47" t="s">
        <v>9</v>
      </c>
      <c r="F24" s="48">
        <v>30000</v>
      </c>
      <c r="G24" s="49"/>
      <c r="H24" s="29" cm="1">
        <f t="array" ref="H24">SUMPRODUCT(Tracking[Amount],--(Tracking[Date]&lt;=Tracking[[#This Row],[Date]]),(Tracking[Type]&lt;&gt;"Income")*(-1)+(Tracking[Type]="Income"))</f>
        <v>33174</v>
      </c>
    </row>
    <row r="25" spans="3:8" x14ac:dyDescent="0.25">
      <c r="C25" s="46">
        <v>46058</v>
      </c>
      <c r="D25" s="47" t="s">
        <v>42</v>
      </c>
      <c r="E25" s="47" t="s">
        <v>13</v>
      </c>
      <c r="F25" s="48">
        <v>8000</v>
      </c>
      <c r="G25" s="49"/>
      <c r="H25" s="29" cm="1">
        <f t="array" ref="H25">SUMPRODUCT(Tracking[Amount],--(Tracking[Date]&lt;=Tracking[[#This Row],[Date]]),(Tracking[Type]&lt;&gt;"Income")*(-1)+(Tracking[Type]="Income"))</f>
        <v>25174</v>
      </c>
    </row>
    <row r="26" spans="3:8" x14ac:dyDescent="0.25">
      <c r="C26" s="46">
        <v>46060</v>
      </c>
      <c r="D26" s="47" t="s">
        <v>42</v>
      </c>
      <c r="E26" s="47" t="s">
        <v>14</v>
      </c>
      <c r="F26" s="48">
        <v>2000</v>
      </c>
      <c r="G26" s="49"/>
      <c r="H26" s="29" cm="1">
        <f t="array" ref="H26">SUMPRODUCT(Tracking[Amount],--(Tracking[Date]&lt;=Tracking[[#This Row],[Date]]),(Tracking[Type]&lt;&gt;"Income")*(-1)+(Tracking[Type]="Income"))</f>
        <v>23174</v>
      </c>
    </row>
    <row r="27" spans="3:8" x14ac:dyDescent="0.25">
      <c r="C27" s="46">
        <v>46062</v>
      </c>
      <c r="D27" s="47" t="s">
        <v>43</v>
      </c>
      <c r="E27" s="47" t="s">
        <v>20</v>
      </c>
      <c r="F27" s="48">
        <v>3000</v>
      </c>
      <c r="G27" s="49"/>
      <c r="H27" s="29" cm="1">
        <f t="array" ref="H27">SUMPRODUCT(Tracking[Amount],--(Tracking[Date]&lt;=Tracking[[#This Row],[Date]]),(Tracking[Type]&lt;&gt;"Income")*(-1)+(Tracking[Type]="Income"))</f>
        <v>20174</v>
      </c>
    </row>
    <row r="28" spans="3:8" x14ac:dyDescent="0.25">
      <c r="C28" s="46">
        <v>46063</v>
      </c>
      <c r="D28" s="47" t="s">
        <v>0</v>
      </c>
      <c r="E28" s="47" t="s">
        <v>10</v>
      </c>
      <c r="F28" s="48">
        <v>27854</v>
      </c>
      <c r="G28" s="49"/>
      <c r="H28" s="29" cm="1">
        <f t="array" ref="H28">SUMPRODUCT(Tracking[Amount],--(Tracking[Date]&lt;=Tracking[[#This Row],[Date]]),(Tracking[Type]&lt;&gt;"Income")*(-1)+(Tracking[Type]="Income"))</f>
        <v>48028</v>
      </c>
    </row>
    <row r="29" spans="3:8" x14ac:dyDescent="0.25">
      <c r="C29" s="46">
        <v>46064</v>
      </c>
      <c r="D29" s="47" t="s">
        <v>0</v>
      </c>
      <c r="E29" s="47" t="s">
        <v>12</v>
      </c>
      <c r="F29" s="48">
        <v>16754</v>
      </c>
      <c r="G29" s="49"/>
      <c r="H29" s="29" cm="1">
        <f t="array" ref="H29">SUMPRODUCT(Tracking[Amount],--(Tracking[Date]&lt;=Tracking[[#This Row],[Date]]),(Tracking[Type]&lt;&gt;"Income")*(-1)+(Tracking[Type]="Income"))</f>
        <v>64782</v>
      </c>
    </row>
    <row r="30" spans="3:8" x14ac:dyDescent="0.25">
      <c r="C30" s="46">
        <v>46065</v>
      </c>
      <c r="D30" s="47" t="s">
        <v>0</v>
      </c>
      <c r="E30" s="47" t="s">
        <v>11</v>
      </c>
      <c r="F30" s="48">
        <v>13996</v>
      </c>
      <c r="G30" s="49"/>
      <c r="H30" s="29" cm="1">
        <f t="array" ref="H30">SUMPRODUCT(Tracking[Amount],--(Tracking[Date]&lt;=Tracking[[#This Row],[Date]]),(Tracking[Type]&lt;&gt;"Income")*(-1)+(Tracking[Type]="Income"))</f>
        <v>78778</v>
      </c>
    </row>
    <row r="31" spans="3:8" x14ac:dyDescent="0.25">
      <c r="C31" s="46">
        <v>46066</v>
      </c>
      <c r="D31" s="47" t="s">
        <v>42</v>
      </c>
      <c r="E31" s="47" t="s">
        <v>15</v>
      </c>
      <c r="F31" s="48">
        <v>15568</v>
      </c>
      <c r="G31" s="49"/>
      <c r="H31" s="29" cm="1">
        <f t="array" ref="H31">SUMPRODUCT(Tracking[Amount],--(Tracking[Date]&lt;=Tracking[[#This Row],[Date]]),(Tracking[Type]&lt;&gt;"Income")*(-1)+(Tracking[Type]="Income"))</f>
        <v>63210</v>
      </c>
    </row>
    <row r="32" spans="3:8" x14ac:dyDescent="0.25">
      <c r="C32" s="46">
        <v>46067</v>
      </c>
      <c r="D32" s="47" t="s">
        <v>42</v>
      </c>
      <c r="E32" s="47" t="s">
        <v>30</v>
      </c>
      <c r="F32" s="48">
        <v>6430</v>
      </c>
      <c r="G32" s="49"/>
      <c r="H32" s="29" cm="1">
        <f t="array" ref="H32">SUMPRODUCT(Tracking[Amount],--(Tracking[Date]&lt;=Tracking[[#This Row],[Date]]),(Tracking[Type]&lt;&gt;"Income")*(-1)+(Tracking[Type]="Income"))</f>
        <v>56780</v>
      </c>
    </row>
    <row r="33" spans="3:8" x14ac:dyDescent="0.25">
      <c r="C33" s="46">
        <v>46068</v>
      </c>
      <c r="D33" s="47" t="s">
        <v>43</v>
      </c>
      <c r="E33" s="47" t="s">
        <v>32</v>
      </c>
      <c r="F33" s="48">
        <v>15000</v>
      </c>
      <c r="G33" s="49"/>
      <c r="H33" s="29" cm="1">
        <f t="array" ref="H33">SUMPRODUCT(Tracking[Amount],--(Tracking[Date]&lt;=Tracking[[#This Row],[Date]]),(Tracking[Type]&lt;&gt;"Income")*(-1)+(Tracking[Type]="Income"))</f>
        <v>41780</v>
      </c>
    </row>
    <row r="34" spans="3:8" x14ac:dyDescent="0.25">
      <c r="C34" s="46">
        <v>46069</v>
      </c>
      <c r="D34" s="47" t="s">
        <v>43</v>
      </c>
      <c r="E34" s="47" t="s">
        <v>19</v>
      </c>
      <c r="F34" s="48">
        <v>25000</v>
      </c>
      <c r="G34" s="49"/>
      <c r="H34" s="29" cm="1">
        <f t="array" ref="H34">SUMPRODUCT(Tracking[Amount],--(Tracking[Date]&lt;=Tracking[[#This Row],[Date]]),(Tracking[Type]&lt;&gt;"Income")*(-1)+(Tracking[Type]="Income"))</f>
        <v>16780</v>
      </c>
    </row>
    <row r="35" spans="3:8" x14ac:dyDescent="0.25">
      <c r="C35" s="46">
        <v>46070</v>
      </c>
      <c r="D35" s="47" t="s">
        <v>43</v>
      </c>
      <c r="E35" s="47" t="s">
        <v>33</v>
      </c>
      <c r="F35" s="48">
        <v>15000</v>
      </c>
      <c r="G35" s="49"/>
      <c r="H35" s="29" cm="1">
        <f t="array" ref="H35">SUMPRODUCT(Tracking[Amount],--(Tracking[Date]&lt;=Tracking[[#This Row],[Date]]),(Tracking[Type]&lt;&gt;"Income")*(-1)+(Tracking[Type]="Income"))</f>
        <v>1780</v>
      </c>
    </row>
    <row r="36" spans="3:8" x14ac:dyDescent="0.25">
      <c r="C36" s="46">
        <v>46071</v>
      </c>
      <c r="D36" s="47" t="s">
        <v>43</v>
      </c>
      <c r="E36" s="47" t="s">
        <v>23</v>
      </c>
      <c r="F36" s="48">
        <v>686</v>
      </c>
      <c r="G36" s="49"/>
      <c r="H36" s="29" cm="1">
        <f t="array" ref="H36">SUMPRODUCT(Tracking[Amount],--(Tracking[Date]&lt;=Tracking[[#This Row],[Date]]),(Tracking[Type]&lt;&gt;"Income")*(-1)+(Tracking[Type]="Income"))</f>
        <v>1094</v>
      </c>
    </row>
    <row r="37" spans="3:8" x14ac:dyDescent="0.25">
      <c r="C37" s="46">
        <v>46082</v>
      </c>
      <c r="D37" s="47" t="s">
        <v>0</v>
      </c>
      <c r="E37" s="47" t="s">
        <v>9</v>
      </c>
      <c r="F37" s="48">
        <v>88954</v>
      </c>
      <c r="G37" s="49"/>
      <c r="H37" s="29" cm="1">
        <f t="array" ref="H37">SUMPRODUCT(Tracking[Amount],--(Tracking[Date]&lt;=Tracking[[#This Row],[Date]]),(Tracking[Type]&lt;&gt;"Income")*(-1)+(Tracking[Type]="Income"))</f>
        <v>90048</v>
      </c>
    </row>
    <row r="38" spans="3:8" x14ac:dyDescent="0.25">
      <c r="C38" s="46">
        <v>46083</v>
      </c>
      <c r="D38" s="47" t="s">
        <v>0</v>
      </c>
      <c r="E38" s="47" t="s">
        <v>10</v>
      </c>
      <c r="F38" s="48">
        <v>66543</v>
      </c>
      <c r="G38" s="49"/>
      <c r="H38" s="29" cm="1">
        <f t="array" ref="H38">SUMPRODUCT(Tracking[Amount],--(Tracking[Date]&lt;=Tracking[[#This Row],[Date]]),(Tracking[Type]&lt;&gt;"Income")*(-1)+(Tracking[Type]="Income"))</f>
        <v>156591</v>
      </c>
    </row>
    <row r="39" spans="3:8" x14ac:dyDescent="0.25">
      <c r="C39" s="46">
        <v>46084</v>
      </c>
      <c r="D39" s="47" t="s">
        <v>0</v>
      </c>
      <c r="E39" s="47" t="s">
        <v>11</v>
      </c>
      <c r="F39" s="48">
        <v>5479</v>
      </c>
      <c r="G39" s="49"/>
      <c r="H39" s="29" cm="1">
        <f t="array" ref="H39">SUMPRODUCT(Tracking[Amount],--(Tracking[Date]&lt;=Tracking[[#This Row],[Date]]),(Tracking[Type]&lt;&gt;"Income")*(-1)+(Tracking[Type]="Income"))</f>
        <v>162070</v>
      </c>
    </row>
    <row r="40" spans="3:8" x14ac:dyDescent="0.25">
      <c r="C40" s="46">
        <v>46085</v>
      </c>
      <c r="D40" s="47" t="s">
        <v>0</v>
      </c>
      <c r="E40" s="47" t="s">
        <v>12</v>
      </c>
      <c r="F40" s="48">
        <v>33221</v>
      </c>
      <c r="G40" s="49"/>
      <c r="H40" s="29" cm="1">
        <f t="array" ref="H40">SUMPRODUCT(Tracking[Amount],--(Tracking[Date]&lt;=Tracking[[#This Row],[Date]]),(Tracking[Type]&lt;&gt;"Income")*(-1)+(Tracking[Type]="Income"))</f>
        <v>195291</v>
      </c>
    </row>
    <row r="41" spans="3:8" x14ac:dyDescent="0.25">
      <c r="C41" s="46">
        <v>46086</v>
      </c>
      <c r="D41" s="47" t="s">
        <v>42</v>
      </c>
      <c r="E41" s="47" t="s">
        <v>13</v>
      </c>
      <c r="F41" s="48">
        <v>8500</v>
      </c>
      <c r="G41" s="49"/>
      <c r="H41" s="29" cm="1">
        <f t="array" ref="H41">SUMPRODUCT(Tracking[Amount],--(Tracking[Date]&lt;=Tracking[[#This Row],[Date]]),(Tracking[Type]&lt;&gt;"Income")*(-1)+(Tracking[Type]="Income"))</f>
        <v>186791</v>
      </c>
    </row>
    <row r="42" spans="3:8" x14ac:dyDescent="0.25">
      <c r="C42" s="46">
        <v>46087</v>
      </c>
      <c r="D42" s="47" t="s">
        <v>42</v>
      </c>
      <c r="E42" s="47" t="s">
        <v>14</v>
      </c>
      <c r="F42" s="48">
        <v>2500</v>
      </c>
      <c r="G42" s="49"/>
      <c r="H42" s="29" cm="1">
        <f t="array" ref="H42">SUMPRODUCT(Tracking[Amount],--(Tracking[Date]&lt;=Tracking[[#This Row],[Date]]),(Tracking[Type]&lt;&gt;"Income")*(-1)+(Tracking[Type]="Income"))</f>
        <v>184291</v>
      </c>
    </row>
    <row r="43" spans="3:8" x14ac:dyDescent="0.25">
      <c r="C43" s="46">
        <v>46088</v>
      </c>
      <c r="D43" s="47" t="s">
        <v>42</v>
      </c>
      <c r="E43" s="47" t="s">
        <v>15</v>
      </c>
      <c r="F43" s="48">
        <v>15568</v>
      </c>
      <c r="G43" s="49"/>
      <c r="H43" s="29" cm="1">
        <f t="array" ref="H43">SUMPRODUCT(Tracking[Amount],--(Tracking[Date]&lt;=Tracking[[#This Row],[Date]]),(Tracking[Type]&lt;&gt;"Income")*(-1)+(Tracking[Type]="Income"))</f>
        <v>168723</v>
      </c>
    </row>
    <row r="44" spans="3:8" x14ac:dyDescent="0.25">
      <c r="C44" s="46">
        <v>46089</v>
      </c>
      <c r="D44" s="47" t="s">
        <v>42</v>
      </c>
      <c r="E44" s="47" t="s">
        <v>26</v>
      </c>
      <c r="F44" s="48">
        <v>1500</v>
      </c>
      <c r="G44" s="49"/>
      <c r="H44" s="29" cm="1">
        <f t="array" ref="H44">SUMPRODUCT(Tracking[Amount],--(Tracking[Date]&lt;=Tracking[[#This Row],[Date]]),(Tracking[Type]&lt;&gt;"Income")*(-1)+(Tracking[Type]="Income"))</f>
        <v>167223</v>
      </c>
    </row>
    <row r="45" spans="3:8" x14ac:dyDescent="0.25">
      <c r="C45" s="46">
        <v>46090</v>
      </c>
      <c r="D45" s="47" t="s">
        <v>42</v>
      </c>
      <c r="E45" s="47" t="s">
        <v>31</v>
      </c>
      <c r="F45" s="48">
        <v>2500</v>
      </c>
      <c r="G45" s="49"/>
      <c r="H45" s="29" cm="1">
        <f t="array" ref="H45">SUMPRODUCT(Tracking[Amount],--(Tracking[Date]&lt;=Tracking[[#This Row],[Date]]),(Tracking[Type]&lt;&gt;"Income")*(-1)+(Tracking[Type]="Income"))</f>
        <v>164723</v>
      </c>
    </row>
    <row r="46" spans="3:8" x14ac:dyDescent="0.25">
      <c r="C46" s="46">
        <v>46091</v>
      </c>
      <c r="D46" s="47" t="s">
        <v>43</v>
      </c>
      <c r="E46" s="47" t="s">
        <v>19</v>
      </c>
      <c r="F46" s="48">
        <v>25000</v>
      </c>
      <c r="G46" s="49"/>
      <c r="H46" s="29" cm="1">
        <f t="array" ref="H46">SUMPRODUCT(Tracking[Amount],--(Tracking[Date]&lt;=Tracking[[#This Row],[Date]]),(Tracking[Type]&lt;&gt;"Income")*(-1)+(Tracking[Type]="Income"))</f>
        <v>139723</v>
      </c>
    </row>
    <row r="47" spans="3:8" x14ac:dyDescent="0.25">
      <c r="C47" s="46">
        <v>46092</v>
      </c>
      <c r="D47" s="47" t="s">
        <v>43</v>
      </c>
      <c r="E47" s="47" t="s">
        <v>23</v>
      </c>
      <c r="F47" s="48">
        <v>5000</v>
      </c>
      <c r="G47" s="49"/>
      <c r="H47" s="29" cm="1">
        <f t="array" ref="H47">SUMPRODUCT(Tracking[Amount],--(Tracking[Date]&lt;=Tracking[[#This Row],[Date]]),(Tracking[Type]&lt;&gt;"Income")*(-1)+(Tracking[Type]="Income"))</f>
        <v>134723</v>
      </c>
    </row>
    <row r="48" spans="3:8" x14ac:dyDescent="0.25">
      <c r="C48" s="46">
        <v>46093</v>
      </c>
      <c r="D48" s="47" t="s">
        <v>43</v>
      </c>
      <c r="E48" s="47" t="s">
        <v>33</v>
      </c>
      <c r="F48" s="48">
        <v>20000</v>
      </c>
      <c r="G48" s="49"/>
      <c r="H48" s="29" cm="1">
        <f t="array" ref="H48">SUMPRODUCT(Tracking[Amount],--(Tracking[Date]&lt;=Tracking[[#This Row],[Date]]),(Tracking[Type]&lt;&gt;"Income")*(-1)+(Tracking[Type]="Income"))</f>
        <v>114723</v>
      </c>
    </row>
  </sheetData>
  <mergeCells count="1">
    <mergeCell ref="A1:FA3"/>
  </mergeCells>
  <conditionalFormatting sqref="E12:E48">
    <cfRule type="expression" dxfId="26" priority="2">
      <formula>"ISNA(MATCH(E12,INDIRECT(D12),0))"</formula>
    </cfRule>
  </conditionalFormatting>
  <conditionalFormatting sqref="F12:F48">
    <cfRule type="expression" dxfId="25" priority="1">
      <formula>D12="Income"</formula>
    </cfRule>
  </conditionalFormatting>
  <dataValidations count="4">
    <dataValidation type="date" operator="greaterThan" allowBlank="1" showInputMessage="1" showErrorMessage="1" errorTitle="Invalid Date" error="Please Enter a Valid Date" sqref="C12:C48" xr:uid="{4EBA9EF5-81DA-4082-AE08-7977E0F1218C}">
      <formula1>1</formula1>
    </dataValidation>
    <dataValidation type="list" allowBlank="1" showInputMessage="1" showErrorMessage="1" errorTitle="Invalid type" error="Please select a valid type from the dropdown list." sqref="D12:D48" xr:uid="{4D5D1A4C-D0F9-4DA8-B91C-ADD79C355212}">
      <formula1>"Income,Expenses,Savings"</formula1>
    </dataValidation>
    <dataValidation type="list" allowBlank="1" showInputMessage="1" showErrorMessage="1" errorTitle="Invalid Category" error="Please select a valid category from the dropdown list" sqref="E12:E48" xr:uid="{6098656F-2A7A-441A-93FB-D413E7103056}">
      <formula1>INDIRECT(D12)</formula1>
    </dataValidation>
    <dataValidation allowBlank="1" showInputMessage="1" showErrorMessage="1" errorTitle="Invalid Amount" error="Please enter a valid number" sqref="F12:F48" xr:uid="{DBF7A262-90A8-4620-884D-A7141055DE7C}"/>
  </dataValidation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F199E-9C99-40D1-9EEF-7BF5616D4921}">
  <dimension ref="A1:AR64"/>
  <sheetViews>
    <sheetView showGridLines="0" topLeftCell="A10" workbookViewId="0">
      <selection activeCell="AQ9" sqref="AQ9:AR9"/>
    </sheetView>
  </sheetViews>
  <sheetFormatPr defaultRowHeight="15" x14ac:dyDescent="0.25"/>
  <cols>
    <col min="2" max="2" width="5.5703125" customWidth="1"/>
    <col min="3" max="3" width="5.140625" hidden="1" customWidth="1"/>
    <col min="4" max="4" width="10.140625" hidden="1" customWidth="1"/>
    <col min="5" max="5" width="7" hidden="1" customWidth="1"/>
    <col min="6" max="6" width="4.5703125" hidden="1" customWidth="1"/>
    <col min="7" max="7" width="5.5703125" hidden="1" customWidth="1"/>
    <col min="8" max="8" width="6.7109375" hidden="1" customWidth="1"/>
    <col min="9" max="9" width="9.5703125" hidden="1" customWidth="1"/>
    <col min="10" max="10" width="20.28515625" hidden="1" customWidth="1"/>
    <col min="11" max="12" width="8.85546875" hidden="1" customWidth="1"/>
    <col min="13" max="13" width="9.5703125" hidden="1" customWidth="1"/>
    <col min="14" max="14" width="9.7109375" hidden="1" customWidth="1"/>
    <col min="15" max="15" width="11.85546875" hidden="1" customWidth="1"/>
    <col min="16" max="16" width="9" hidden="1" customWidth="1"/>
    <col min="17" max="17" width="11.28515625" hidden="1" customWidth="1"/>
    <col min="18" max="18" width="8.85546875" hidden="1" customWidth="1"/>
    <col min="19" max="19" width="8.140625" hidden="1" customWidth="1"/>
    <col min="20" max="21" width="12.28515625" hidden="1" customWidth="1"/>
    <col min="22" max="22" width="19.5703125" hidden="1" customWidth="1"/>
    <col min="23" max="23" width="13.42578125" hidden="1" customWidth="1"/>
    <col min="24" max="24" width="15.7109375" hidden="1" customWidth="1"/>
    <col min="25" max="25" width="20.28515625" bestFit="1" customWidth="1"/>
    <col min="26" max="27" width="12.7109375" customWidth="1"/>
    <col min="28" max="28" width="10.140625" customWidth="1"/>
    <col min="29" max="30" width="12.7109375" customWidth="1"/>
    <col min="31" max="31" width="4.28515625" customWidth="1"/>
    <col min="32" max="33" width="13.5703125" customWidth="1"/>
    <col min="34" max="34" width="3.5703125" customWidth="1"/>
    <col min="35" max="35" width="15" customWidth="1"/>
    <col min="37" max="37" width="6.7109375" customWidth="1"/>
    <col min="38" max="38" width="3.28515625" customWidth="1"/>
    <col min="39" max="40" width="13.5703125" customWidth="1"/>
    <col min="41" max="41" width="3.5703125" customWidth="1"/>
    <col min="42" max="42" width="15" customWidth="1"/>
    <col min="44" max="44" width="6.7109375" customWidth="1"/>
  </cols>
  <sheetData>
    <row r="1" spans="1:44" s="94" customFormat="1" x14ac:dyDescent="0.25">
      <c r="A1" s="93" t="s">
        <v>55</v>
      </c>
    </row>
    <row r="2" spans="1:44" s="94" customFormat="1" x14ac:dyDescent="0.25"/>
    <row r="3" spans="1:44" s="94" customFormat="1" x14ac:dyDescent="0.25"/>
    <row r="5" spans="1:44" x14ac:dyDescent="0.25">
      <c r="AQ5" s="100" t="s">
        <v>56</v>
      </c>
      <c r="AR5" s="101"/>
    </row>
    <row r="6" spans="1:44" x14ac:dyDescent="0.25">
      <c r="AN6" s="103" t="s">
        <v>57</v>
      </c>
      <c r="AO6" s="104"/>
      <c r="AP6" s="104"/>
      <c r="AQ6" s="102" t="s">
        <v>62</v>
      </c>
      <c r="AR6" s="102"/>
    </row>
    <row r="8" spans="1:44" x14ac:dyDescent="0.25">
      <c r="AQ8" s="100" t="s">
        <v>58</v>
      </c>
      <c r="AR8" s="101"/>
    </row>
    <row r="9" spans="1:44" x14ac:dyDescent="0.25">
      <c r="AN9" s="103" t="s">
        <v>59</v>
      </c>
      <c r="AO9" s="104"/>
      <c r="AP9" s="104"/>
      <c r="AQ9" s="105" t="s">
        <v>64</v>
      </c>
      <c r="AR9" s="105"/>
    </row>
    <row r="11" spans="1:44" x14ac:dyDescent="0.25">
      <c r="C11" s="95"/>
      <c r="D11" s="95"/>
      <c r="E11" s="95"/>
      <c r="F11" s="95"/>
      <c r="G11" s="95"/>
      <c r="H11" s="95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6" t="str">
        <f ca="1">"Breakdown-"&amp; IF( selected_period="Total Year", selected_year &amp; "(Total Year)",selected_period_display &amp; " " &amp; selected_year)</f>
        <v>Breakdown-2026(Total Year)</v>
      </c>
      <c r="Z11" s="97"/>
      <c r="AA11" s="97"/>
      <c r="AB11" s="97"/>
      <c r="AC11" s="97"/>
      <c r="AD11" s="97"/>
      <c r="AF11" s="98" t="str">
        <f ca="1">"Summary-"&amp; IF( selected_period="Total Year", selected_year &amp; "(Total Year)",selected_period_display &amp; " " &amp; selected_year)</f>
        <v>Summary-2026(Total Year)</v>
      </c>
      <c r="AG11" s="99"/>
      <c r="AH11" s="99"/>
      <c r="AI11" s="99"/>
      <c r="AJ11" s="99"/>
      <c r="AK11" s="99"/>
      <c r="AL11" s="99"/>
      <c r="AM11" s="99"/>
      <c r="AN11" s="99"/>
      <c r="AO11" s="99"/>
      <c r="AP11" s="99"/>
      <c r="AQ11" s="99"/>
      <c r="AR11" s="99"/>
    </row>
    <row r="12" spans="1:44" x14ac:dyDescent="0.25">
      <c r="C12" s="42" t="s">
        <v>71</v>
      </c>
      <c r="D12" s="43" t="s">
        <v>72</v>
      </c>
      <c r="E12" s="42" t="s">
        <v>73</v>
      </c>
      <c r="F12" s="41" t="s">
        <v>74</v>
      </c>
      <c r="G12" s="41" t="s">
        <v>75</v>
      </c>
      <c r="H12" s="43" t="s">
        <v>76</v>
      </c>
      <c r="I12" s="42" t="s">
        <v>77</v>
      </c>
      <c r="J12" s="41" t="s">
        <v>78</v>
      </c>
      <c r="K12" s="50" t="s">
        <v>79</v>
      </c>
      <c r="L12" s="51" t="s">
        <v>80</v>
      </c>
      <c r="M12" s="42" t="s">
        <v>82</v>
      </c>
      <c r="N12" s="43" t="s">
        <v>83</v>
      </c>
      <c r="O12" s="42" t="s">
        <v>84</v>
      </c>
      <c r="P12" s="41" t="s">
        <v>85</v>
      </c>
      <c r="Q12" s="41" t="s">
        <v>86</v>
      </c>
      <c r="R12" s="43" t="s">
        <v>87</v>
      </c>
      <c r="S12" s="42" t="s">
        <v>88</v>
      </c>
      <c r="T12" s="41" t="s">
        <v>89</v>
      </c>
      <c r="U12" s="41" t="s">
        <v>90</v>
      </c>
      <c r="V12" s="41" t="s">
        <v>91</v>
      </c>
      <c r="W12" s="43" t="s">
        <v>92</v>
      </c>
      <c r="X12" s="53" t="s">
        <v>93</v>
      </c>
    </row>
    <row r="13" spans="1:44" x14ac:dyDescent="0.25">
      <c r="C13" s="2" cm="1">
        <f t="array" ref="C13">Income_header_row</f>
        <v>9</v>
      </c>
      <c r="D13" s="3">
        <f t="shared" ref="D13:D60" si="0">IF(is_header,row_id,IF(NOT(is_empty),D12,-1))</f>
        <v>9</v>
      </c>
      <c r="E13" s="2" cm="1">
        <f t="array" ref="E13">1*OR(row_id=Income_header_row, row_id=expenses_header_row, row_id=savings_header_row)</f>
        <v>1</v>
      </c>
      <c r="F13">
        <f t="shared" ref="F13:F60" si="1">1*NOT(OR(is_header, is_total, is_empty))</f>
        <v>0</v>
      </c>
      <c r="G13" cm="1">
        <f t="array" ref="G13">1*OR(row_id=income_total_row, row_id=expenses_total_row, row_id=savings_total_row)</f>
        <v>0</v>
      </c>
      <c r="H13" s="3">
        <f t="shared" ref="H13:H60" si="2">1*OR(row_id="/1", row_id="/2", row_id=-1)</f>
        <v>0</v>
      </c>
      <c r="I13" s="2" t="str" cm="1">
        <f t="array" ref="I13">IFERROR(INDEX('Budget Planning'!$C:$C,header_row_id),"")</f>
        <v>Income</v>
      </c>
      <c r="J13" t="str" cm="1">
        <f t="array" ref="J13">IFERROR(INDEX('Budget Planning'!$C:$C,row_id),"")</f>
        <v>Income</v>
      </c>
      <c r="K13" s="44" t="str" cm="1">
        <f t="array" ref="K13">IF(OR(is_header,is_empty),"",IF(is_total,IF(selected_period="Total Year",SUMPRODUCT(Tracking[Amount],--(TRIM(Tracking[Type])=TRIM(type)),--(Tracking[Date]&gt;=DATE(selected_year,1,1)),--(Tracking[Date]&lt;DATE(selected_year+1,1,1))),SUMPRODUCT(Tracking[Amount],--(TRIM(Tracking[Type])=TRIM(type)),--(Tracking[Date]&gt;=DATE(selected_year,1,1)),--(Tracking[Date]&lt;DATE(selected_year+1,1,1)),--(MONTH(Tracking[Date])=selected_period))),IF(selected_period="Total Year",SUMPRODUCT(Tracking[Amount],--(TRIM(Tracking[Type])=TRIM(type)),--(TRIM(Tracking[Categories])=TRIM(item)),--(Tracking[Date]&gt;=DATE(selected_year,1,1)),--(Tracking[Date]&lt;DATE(selected_year+1,1,1))),SUMPRODUCT(Tracking[Amount],--(TRIM(Tracking[Type])=TRIM(type)),--(TRIM(Tracking[Categories])=TRIM(item)),--(Tracking[Date]&gt;=DATE(selected_year,1,1)),--(Tracking[Date]&lt;DATE(selected_year+1,1,1)),--(MONTH(Tracking[Date])=selected_period)))))</f>
        <v/>
      </c>
      <c r="L13" s="52" t="str" cm="1">
        <f t="array" ref="L13">IF(OR(is_header,is_empty),"",INDEX('Budget Planning'!$E:$FA,row_id,MATCH(IF(selected_period="Total Year",selected_year,DATE(selected_year,selected_period,1)),'Budget Planning'!$E$9:$FA$9,0)))</f>
        <v/>
      </c>
      <c r="M13" s="2" t="str" cm="1">
        <f t="array" ref="M13">IF(is_cat,IF(header_row_id=Income_header_row, MATCH(income_min_row,$C:$C,0),IF(header_row_id=expenses_header_row, MATCH(expenses_min_row,$C:$C,0),IF(header_row_id=savings_header_row, MATCH(savings_min_row,$C:$C,0),""))),"")</f>
        <v/>
      </c>
      <c r="N13" s="3" t="str" cm="1">
        <f t="array" ref="N13">IF(is_cat,IF(header_row_id=Income_header_row, MATCH(income_max_row,$C:$C,0),IF(header_row_id=expenses_header_row, MATCH(expenses_max_row,$C:$C,0),IF(header_row_id=savings_header_row, MATCH(savings_max_row,$C:$C,0),""))),"")</f>
        <v/>
      </c>
      <c r="O13" s="2" t="str">
        <f t="shared" ref="O13:O60" si="3">IF(is_cat,ADDRESS(sort_min_row,COLUMN(tracked))&amp;":"&amp;ADDRESS(sort_max_row,COLUMN(tracked)),"")</f>
        <v/>
      </c>
      <c r="P13" t="str">
        <f t="shared" ref="P13:P60" ca="1" si="4">IF(is_cat,RANK(tracked,INDIRECT(tracked_range),0),"")</f>
        <v/>
      </c>
      <c r="Q13" t="str">
        <f t="shared" ref="Q13:Q60" si="5">IF(is_cat,ADDRESS(sort_min_row,COLUMN(budget))&amp;":"&amp;ADDRESS(sort_max_row,COLUMN(budget)),"")</f>
        <v/>
      </c>
      <c r="R13" s="3" t="str">
        <f t="shared" ref="R13:R60" ca="1" si="6">IF(is_cat,RANK(budget,INDIRECT(budget_range),0),"")</f>
        <v/>
      </c>
      <c r="S13" s="2" t="str">
        <f t="shared" ref="S13:S60" si="7">IF(is_cat,_xlfn.NUMBERVALUE(tracked_rank &amp; budget_rank),"")</f>
        <v/>
      </c>
      <c r="T13" t="str">
        <f t="shared" ref="T13:T60" si="8">IF(is_cat,ADDRESS(sort_min_row,COLUMN(comb_rank))&amp;":"&amp;ADDRESS(sort_max_row,COLUMN(comb_rank)),"")</f>
        <v/>
      </c>
      <c r="U13" t="str">
        <f t="shared" ref="U13:U60" ca="1" si="9">IF(is_cat, RANK(comb_rank, INDIRECT(comb_rank_range),1),"")</f>
        <v/>
      </c>
      <c r="V13" t="str">
        <f t="shared" ref="V13:V60" si="10">IF(is_cat,ADDRESS(sort_min_row,COLUMN(comb_rank_norm))&amp;":"&amp;ADDRESS(ROW(),COLUMN(comb_rank_norm)),"")</f>
        <v/>
      </c>
      <c r="W13" s="3" t="str">
        <f t="shared" ref="W13:W60" ca="1" si="11">IF(is_cat,comb_rank_norm+COUNTIF(INDIRECT(comb_rank_norm_run_range),comb_rank_norm)-1,"")</f>
        <v/>
      </c>
      <c r="X13" s="54">
        <f t="shared" ref="X13:X60" si="12">IF(is_cat,header_row_id+comb_rank_unique,row_id)</f>
        <v>9</v>
      </c>
      <c r="Y13" s="55" t="str">
        <f t="shared" ref="Y13:Y60" si="13">IF(is_empty,"",INDEX($J:$J,MATCH(row_id,$X:$X,0)))</f>
        <v>Income</v>
      </c>
      <c r="Z13" s="58" t="str">
        <f t="shared" ref="Z13:Z60" si="14">IF(is_empty,"",IF(is_header,"Tracked",INDEX($K:$K,MATCH(row_id,$X:$X,0))))</f>
        <v>Tracked</v>
      </c>
      <c r="AA13" s="58" t="str">
        <f t="shared" ref="AA13:AA60" si="15">IF(is_empty,"",IF(is_header,"Budget",INDEX($L:$L,MATCH(row_id,$X:$X,0))))</f>
        <v>Budget</v>
      </c>
      <c r="AB13" s="57" t="str">
        <f t="shared" ref="AB13:AB60" si="16">IF(is_empty,"",IF(is_header,"% Compl.",IFERROR(out_tracked/out_budget,"-")))</f>
        <v>% Compl.</v>
      </c>
      <c r="AC13" s="58" t="str">
        <f t="shared" ref="AC13:AC60" si="17">IF(is_empty,"",IF(is_header,"Remaining",IF(out_budget-out_tracked&gt;0,out_budget-out_tracked,0)))</f>
        <v>Remaining</v>
      </c>
      <c r="AD13" s="58" t="str">
        <f t="shared" ref="AD13:AD60" si="18">IF(is_empty,"",IF(is_header,"Excess",IF(out_budget-out_tracked&lt;0,out_tracked-out_budget,0)))</f>
        <v>Excess</v>
      </c>
      <c r="AF13" s="59"/>
      <c r="AG13" s="60"/>
      <c r="AH13" s="60"/>
      <c r="AI13" s="60"/>
      <c r="AJ13" s="60"/>
      <c r="AK13" s="61"/>
      <c r="AM13" s="59"/>
      <c r="AN13" s="60"/>
      <c r="AO13" s="60"/>
      <c r="AP13" s="60"/>
      <c r="AQ13" s="60"/>
      <c r="AR13" s="61"/>
    </row>
    <row r="14" spans="1:44" x14ac:dyDescent="0.25">
      <c r="C14" s="2" cm="1">
        <f t="array" ref="C14">IF(C13=-1,-1, IF(C13&lt;income_max_row,C13+1,IF(C13=income_max_row,income_total_row,IF(C13=income_total_row,"/1", IF(C13="/1",expenses_header_row,IF(C13&lt;expenses_max_row,C13+1,IF(C13=expenses_max_row,expenses_total_row,IF(C13=expenses_total_row,"/2",IF(C13="/2",savings_header_row,IF(C13&lt;savings_max_row,C13+1,IF(C13=savings_max_row,savings_total_row,-1)))))))))))</f>
        <v>10</v>
      </c>
      <c r="D14" s="3">
        <f t="shared" si="0"/>
        <v>9</v>
      </c>
      <c r="E14" s="2" cm="1">
        <f t="array" ref="E14">1*OR(row_id=Income_header_row, row_id=expenses_header_row, row_id=savings_header_row)</f>
        <v>0</v>
      </c>
      <c r="F14">
        <f t="shared" si="1"/>
        <v>1</v>
      </c>
      <c r="G14" cm="1">
        <f t="array" ref="G14">1*OR(row_id=income_total_row, row_id=expenses_total_row, row_id=savings_total_row)</f>
        <v>0</v>
      </c>
      <c r="H14" s="3">
        <f t="shared" si="2"/>
        <v>0</v>
      </c>
      <c r="I14" s="2" t="str" cm="1">
        <f t="array" ref="I14">IFERROR(INDEX('Budget Planning'!$C:$C,header_row_id),"")</f>
        <v>Income</v>
      </c>
      <c r="J14" t="str" cm="1">
        <f t="array" ref="J14">IFERROR(INDEX('Budget Planning'!$C:$C,row_id),"")</f>
        <v>Salary (Net)</v>
      </c>
      <c r="K14" s="44" cm="1">
        <f t="array" aca="1" ref="K14" ca="1">IF(OR(is_header,is_empty),"",IF(is_total,IF(selected_period="Total Year",SUMPRODUCT(Tracking[Amount],--(TRIM(Tracking[Type])=TRIM(type)),--(Tracking[Date]&gt;=DATE(selected_year,1,1)),--(Tracking[Date]&lt;DATE(selected_year+1,1,1))),SUMPRODUCT(Tracking[Amount],--(TRIM(Tracking[Type])=TRIM(type)),--(Tracking[Date]&gt;=DATE(selected_year,1,1)),--(Tracking[Date]&lt;DATE(selected_year+1,1,1)),--(MONTH(Tracking[Date])=selected_period))),IF(selected_period="Total Year",SUMPRODUCT(Tracking[Amount],--(TRIM(Tracking[Type])=TRIM(type)),--(TRIM(Tracking[Categories])=TRIM(item)),--(Tracking[Date]&gt;=DATE(selected_year,1,1)),--(Tracking[Date]&lt;DATE(selected_year+1,1,1))),SUMPRODUCT(Tracking[Amount],--(TRIM(Tracking[Type])=TRIM(type)),--(TRIM(Tracking[Categories])=TRIM(item)),--(Tracking[Date]&gt;=DATE(selected_year,1,1)),--(Tracking[Date]&lt;DATE(selected_year+1,1,1)),--(MONTH(Tracking[Date])=selected_period)))))</f>
        <v>143954</v>
      </c>
      <c r="L14" s="52" cm="1">
        <f t="array" aca="1" ref="L14" ca="1">IF(OR(is_header,is_empty),"",INDEX('Budget Planning'!$E:$FA,row_id,MATCH(IF(selected_period="Total Year",selected_year,DATE(selected_year,selected_period,1)),'Budget Planning'!$E$9:$FA$9,0)))</f>
        <v>911182</v>
      </c>
      <c r="M14" s="2" cm="1">
        <f t="array" ref="M14">IF(is_cat,IF(header_row_id=Income_header_row, MATCH(income_min_row,$C:$C,0),IF(header_row_id=expenses_header_row, MATCH(expenses_min_row,$C:$C,0),IF(header_row_id=savings_header_row, MATCH(savings_min_row,$C:$C,0),""))),"")</f>
        <v>14</v>
      </c>
      <c r="N14" s="3" cm="1">
        <f t="array" ref="N14">IF(is_cat,IF(header_row_id=Income_header_row, MATCH(income_max_row,$C:$C,0),IF(header_row_id=expenses_header_row, MATCH(expenses_max_row,$C:$C,0),IF(header_row_id=savings_header_row, MATCH(savings_max_row,$C:$C,0),""))),"")</f>
        <v>17</v>
      </c>
      <c r="O14" s="2" t="str">
        <f t="shared" si="3"/>
        <v>$K$14:$K$17</v>
      </c>
      <c r="P14">
        <f t="shared" ca="1" si="4"/>
        <v>1</v>
      </c>
      <c r="Q14" t="str">
        <f t="shared" si="5"/>
        <v>$L$14:$L$17</v>
      </c>
      <c r="R14" s="3">
        <f t="shared" ca="1" si="6"/>
        <v>1</v>
      </c>
      <c r="S14" s="2">
        <f t="shared" ca="1" si="7"/>
        <v>11</v>
      </c>
      <c r="T14" t="str">
        <f t="shared" si="8"/>
        <v>$S$14:$S$17</v>
      </c>
      <c r="U14">
        <f t="shared" ca="1" si="9"/>
        <v>1</v>
      </c>
      <c r="V14" t="str">
        <f t="shared" si="10"/>
        <v>$U$14:$U$14</v>
      </c>
      <c r="W14" s="3">
        <f t="shared" ca="1" si="11"/>
        <v>1</v>
      </c>
      <c r="X14" s="54">
        <f t="shared" ca="1" si="12"/>
        <v>10</v>
      </c>
      <c r="Y14" s="55" t="str">
        <f t="shared" ca="1" si="13"/>
        <v>Salary (Net)</v>
      </c>
      <c r="Z14" s="58">
        <f t="shared" ca="1" si="14"/>
        <v>143954</v>
      </c>
      <c r="AA14" s="58">
        <f t="shared" ca="1" si="15"/>
        <v>911182</v>
      </c>
      <c r="AB14" s="57">
        <f t="shared" ca="1" si="16"/>
        <v>0.15798600060141663</v>
      </c>
      <c r="AC14" s="58">
        <f t="shared" ca="1" si="17"/>
        <v>767228</v>
      </c>
      <c r="AD14" s="58">
        <f t="shared" ca="1" si="18"/>
        <v>0</v>
      </c>
      <c r="AF14" s="2"/>
      <c r="AK14" s="3"/>
      <c r="AM14" s="2"/>
      <c r="AR14" s="3"/>
    </row>
    <row r="15" spans="1:44" x14ac:dyDescent="0.25">
      <c r="C15" s="2" cm="1">
        <f t="array" ref="C15">IF(C14=-1,-1, IF(C14&lt;income_max_row,C14+1,IF(C14=income_max_row,income_total_row,IF(C14=income_total_row,"/1", IF(C14="/1",expenses_header_row,IF(C14&lt;expenses_max_row,C14+1,IF(C14=expenses_max_row,expenses_total_row,IF(C14=expenses_total_row,"/2",IF(C14="/2",savings_header_row,IF(C14&lt;savings_max_row,C14+1,IF(C14=savings_max_row,savings_total_row,-1)))))))))))</f>
        <v>11</v>
      </c>
      <c r="D15" s="3">
        <f t="shared" si="0"/>
        <v>9</v>
      </c>
      <c r="E15" s="2" cm="1">
        <f t="array" ref="E15">1*OR(row_id=Income_header_row, row_id=expenses_header_row, row_id=savings_header_row)</f>
        <v>0</v>
      </c>
      <c r="F15">
        <f t="shared" si="1"/>
        <v>1</v>
      </c>
      <c r="G15" cm="1">
        <f t="array" ref="G15">1*OR(row_id=income_total_row, row_id=expenses_total_row, row_id=savings_total_row)</f>
        <v>0</v>
      </c>
      <c r="H15" s="3">
        <f t="shared" si="2"/>
        <v>0</v>
      </c>
      <c r="I15" s="2" t="str" cm="1">
        <f t="array" ref="I15">IFERROR(INDEX('Budget Planning'!$C:$C,header_row_id),"")</f>
        <v>Income</v>
      </c>
      <c r="J15" t="str" cm="1">
        <f t="array" ref="J15">IFERROR(INDEX('Budget Planning'!$C:$C,row_id),"")</f>
        <v>Side Hustle (Net)</v>
      </c>
      <c r="K15" s="44" cm="1">
        <f t="array" aca="1" ref="K15" ca="1">IF(OR(is_header,is_empty),"",IF(is_total,IF(selected_period="Total Year",SUMPRODUCT(Tracking[Amount],--(TRIM(Tracking[Type])=TRIM(type)),--(Tracking[Date]&gt;=DATE(selected_year,1,1)),--(Tracking[Date]&lt;DATE(selected_year+1,1,1))),SUMPRODUCT(Tracking[Amount],--(TRIM(Tracking[Type])=TRIM(type)),--(Tracking[Date]&gt;=DATE(selected_year,1,1)),--(Tracking[Date]&lt;DATE(selected_year+1,1,1)),--(MONTH(Tracking[Date])=selected_period))),IF(selected_period="Total Year",SUMPRODUCT(Tracking[Amount],--(TRIM(Tracking[Type])=TRIM(type)),--(TRIM(Tracking[Categories])=TRIM(item)),--(Tracking[Date]&gt;=DATE(selected_year,1,1)),--(Tracking[Date]&lt;DATE(selected_year+1,1,1))),SUMPRODUCT(Tracking[Amount],--(TRIM(Tracking[Type])=TRIM(type)),--(TRIM(Tracking[Categories])=TRIM(item)),--(Tracking[Date]&gt;=DATE(selected_year,1,1)),--(Tracking[Date]&lt;DATE(selected_year+1,1,1)),--(MONTH(Tracking[Date])=selected_period)))))</f>
        <v>103163</v>
      </c>
      <c r="L15" s="52" cm="1">
        <f t="array" aca="1" ref="L15" ca="1">IF(OR(is_header,is_empty),"",INDEX('Budget Planning'!$E:$FA,row_id,MATCH(IF(selected_period="Total Year",selected_year,DATE(selected_year,selected_period,1)),'Budget Planning'!$E$9:$FA$9,0)))</f>
        <v>299323</v>
      </c>
      <c r="M15" s="2" cm="1">
        <f t="array" ref="M15">IF(is_cat,IF(header_row_id=Income_header_row, MATCH(income_min_row,$C:$C,0),IF(header_row_id=expenses_header_row, MATCH(expenses_min_row,$C:$C,0),IF(header_row_id=savings_header_row, MATCH(savings_min_row,$C:$C,0),""))),"")</f>
        <v>14</v>
      </c>
      <c r="N15" s="3" cm="1">
        <f t="array" ref="N15">IF(is_cat,IF(header_row_id=Income_header_row, MATCH(income_max_row,$C:$C,0),IF(header_row_id=expenses_header_row, MATCH(expenses_max_row,$C:$C,0),IF(header_row_id=savings_header_row, MATCH(savings_max_row,$C:$C,0),""))),"")</f>
        <v>17</v>
      </c>
      <c r="O15" s="2" t="str">
        <f t="shared" si="3"/>
        <v>$K$14:$K$17</v>
      </c>
      <c r="P15">
        <f t="shared" ca="1" si="4"/>
        <v>2</v>
      </c>
      <c r="Q15" t="str">
        <f t="shared" si="5"/>
        <v>$L$14:$L$17</v>
      </c>
      <c r="R15" s="3">
        <f t="shared" ca="1" si="6"/>
        <v>2</v>
      </c>
      <c r="S15" s="2">
        <f t="shared" ca="1" si="7"/>
        <v>22</v>
      </c>
      <c r="T15" t="str">
        <f t="shared" si="8"/>
        <v>$S$14:$S$17</v>
      </c>
      <c r="U15">
        <f t="shared" ca="1" si="9"/>
        <v>2</v>
      </c>
      <c r="V15" t="str">
        <f t="shared" si="10"/>
        <v>$U$14:$U$15</v>
      </c>
      <c r="W15" s="3">
        <f t="shared" ca="1" si="11"/>
        <v>2</v>
      </c>
      <c r="X15" s="54">
        <f t="shared" ca="1" si="12"/>
        <v>11</v>
      </c>
      <c r="Y15" s="55" t="str">
        <f t="shared" ca="1" si="13"/>
        <v>Side Hustle (Net)</v>
      </c>
      <c r="Z15" s="58">
        <f t="shared" ca="1" si="14"/>
        <v>103163</v>
      </c>
      <c r="AA15" s="58">
        <f t="shared" ca="1" si="15"/>
        <v>299323</v>
      </c>
      <c r="AB15" s="57">
        <f t="shared" ca="1" si="16"/>
        <v>0.34465443684581537</v>
      </c>
      <c r="AC15" s="58">
        <f t="shared" ca="1" si="17"/>
        <v>196160</v>
      </c>
      <c r="AD15" s="58">
        <f t="shared" ca="1" si="18"/>
        <v>0</v>
      </c>
      <c r="AF15" s="2"/>
      <c r="AK15" s="3"/>
      <c r="AM15" s="2"/>
      <c r="AR15" s="3"/>
    </row>
    <row r="16" spans="1:44" x14ac:dyDescent="0.25">
      <c r="C16" s="2" cm="1">
        <f t="array" ref="C16">IF(C15=-1,-1, IF(C15&lt;income_max_row,C15+1,IF(C15=income_max_row,income_total_row,IF(C15=income_total_row,"/1", IF(C15="/1",expenses_header_row,IF(C15&lt;expenses_max_row,C15+1,IF(C15=expenses_max_row,expenses_total_row,IF(C15=expenses_total_row,"/2",IF(C15="/2",savings_header_row,IF(C15&lt;savings_max_row,C15+1,IF(C15=savings_max_row,savings_total_row,-1)))))))))))</f>
        <v>12</v>
      </c>
      <c r="D16" s="3">
        <f t="shared" si="0"/>
        <v>9</v>
      </c>
      <c r="E16" s="2" cm="1">
        <f t="array" ref="E16">1*OR(row_id=Income_header_row, row_id=expenses_header_row, row_id=savings_header_row)</f>
        <v>0</v>
      </c>
      <c r="F16">
        <f t="shared" si="1"/>
        <v>1</v>
      </c>
      <c r="G16" cm="1">
        <f t="array" ref="G16">1*OR(row_id=income_total_row, row_id=expenses_total_row, row_id=savings_total_row)</f>
        <v>0</v>
      </c>
      <c r="H16" s="3">
        <f t="shared" si="2"/>
        <v>0</v>
      </c>
      <c r="I16" s="2" t="str" cm="1">
        <f t="array" ref="I16">IFERROR(INDEX('Budget Planning'!$C:$C,header_row_id),"")</f>
        <v>Income</v>
      </c>
      <c r="J16" t="str" cm="1">
        <f t="array" ref="J16">IFERROR(INDEX('Budget Planning'!$C:$C,row_id),"")</f>
        <v>Dividends (Net)</v>
      </c>
      <c r="K16" s="44" cm="1">
        <f t="array" aca="1" ref="K16" ca="1">IF(OR(is_header,is_empty),"",IF(is_total,IF(selected_period="Total Year",SUMPRODUCT(Tracking[Amount],--(TRIM(Tracking[Type])=TRIM(type)),--(Tracking[Date]&gt;=DATE(selected_year,1,1)),--(Tracking[Date]&lt;DATE(selected_year+1,1,1))),SUMPRODUCT(Tracking[Amount],--(TRIM(Tracking[Type])=TRIM(type)),--(Tracking[Date]&gt;=DATE(selected_year,1,1)),--(Tracking[Date]&lt;DATE(selected_year+1,1,1)),--(MONTH(Tracking[Date])=selected_period))),IF(selected_period="Total Year",SUMPRODUCT(Tracking[Amount],--(TRIM(Tracking[Type])=TRIM(type)),--(TRIM(Tracking[Categories])=TRIM(item)),--(Tracking[Date]&gt;=DATE(selected_year,1,1)),--(Tracking[Date]&lt;DATE(selected_year+1,1,1))),SUMPRODUCT(Tracking[Amount],--(TRIM(Tracking[Type])=TRIM(type)),--(TRIM(Tracking[Categories])=TRIM(item)),--(Tracking[Date]&gt;=DATE(selected_year,1,1)),--(Tracking[Date]&lt;DATE(selected_year+1,1,1)),--(MONTH(Tracking[Date])=selected_period)))))</f>
        <v>19950</v>
      </c>
      <c r="L16" s="52" cm="1">
        <f t="array" aca="1" ref="L16" ca="1">IF(OR(is_header,is_empty),"",INDEX('Budget Planning'!$E:$FA,row_id,MATCH(IF(selected_period="Total Year",selected_year,DATE(selected_year,selected_period,1)),'Budget Planning'!$E$9:$FA$9,0)))</f>
        <v>1930</v>
      </c>
      <c r="M16" s="2" cm="1">
        <f t="array" ref="M16">IF(is_cat,IF(header_row_id=Income_header_row, MATCH(income_min_row,$C:$C,0),IF(header_row_id=expenses_header_row, MATCH(expenses_min_row,$C:$C,0),IF(header_row_id=savings_header_row, MATCH(savings_min_row,$C:$C,0),""))),"")</f>
        <v>14</v>
      </c>
      <c r="N16" s="3" cm="1">
        <f t="array" ref="N16">IF(is_cat,IF(header_row_id=Income_header_row, MATCH(income_max_row,$C:$C,0),IF(header_row_id=expenses_header_row, MATCH(expenses_max_row,$C:$C,0),IF(header_row_id=savings_header_row, MATCH(savings_max_row,$C:$C,0),""))),"")</f>
        <v>17</v>
      </c>
      <c r="O16" s="2" t="str">
        <f t="shared" si="3"/>
        <v>$K$14:$K$17</v>
      </c>
      <c r="P16">
        <f t="shared" ca="1" si="4"/>
        <v>4</v>
      </c>
      <c r="Q16" t="str">
        <f t="shared" si="5"/>
        <v>$L$14:$L$17</v>
      </c>
      <c r="R16" s="3">
        <f t="shared" ca="1" si="6"/>
        <v>4</v>
      </c>
      <c r="S16" s="2">
        <f t="shared" ca="1" si="7"/>
        <v>44</v>
      </c>
      <c r="T16" t="str">
        <f t="shared" si="8"/>
        <v>$S$14:$S$17</v>
      </c>
      <c r="U16">
        <f t="shared" ca="1" si="9"/>
        <v>4</v>
      </c>
      <c r="V16" t="str">
        <f t="shared" si="10"/>
        <v>$U$14:$U$16</v>
      </c>
      <c r="W16" s="3">
        <f t="shared" ca="1" si="11"/>
        <v>4</v>
      </c>
      <c r="X16" s="54">
        <f t="shared" ca="1" si="12"/>
        <v>13</v>
      </c>
      <c r="Y16" s="55" t="str">
        <f t="shared" ca="1" si="13"/>
        <v>Freelance (Net)</v>
      </c>
      <c r="Z16" s="58">
        <f t="shared" ca="1" si="14"/>
        <v>50897</v>
      </c>
      <c r="AA16" s="58">
        <f t="shared" ca="1" si="15"/>
        <v>113448</v>
      </c>
      <c r="AB16" s="57">
        <f t="shared" ca="1" si="16"/>
        <v>0.44863726112403923</v>
      </c>
      <c r="AC16" s="58">
        <f t="shared" ca="1" si="17"/>
        <v>62551</v>
      </c>
      <c r="AD16" s="58">
        <f t="shared" ca="1" si="18"/>
        <v>0</v>
      </c>
      <c r="AF16" s="2"/>
      <c r="AK16" s="3"/>
      <c r="AM16" s="2"/>
      <c r="AR16" s="3"/>
    </row>
    <row r="17" spans="3:44" x14ac:dyDescent="0.25">
      <c r="C17" s="2" cm="1">
        <f t="array" ref="C17">IF(C16=-1,-1, IF(C16&lt;income_max_row,C16+1,IF(C16=income_max_row,income_total_row,IF(C16=income_total_row,"/1", IF(C16="/1",expenses_header_row,IF(C16&lt;expenses_max_row,C16+1,IF(C16=expenses_max_row,expenses_total_row,IF(C16=expenses_total_row,"/2",IF(C16="/2",savings_header_row,IF(C16&lt;savings_max_row,C16+1,IF(C16=savings_max_row,savings_total_row,-1)))))))))))</f>
        <v>13</v>
      </c>
      <c r="D17" s="3">
        <f t="shared" si="0"/>
        <v>9</v>
      </c>
      <c r="E17" s="2" cm="1">
        <f t="array" ref="E17">1*OR(row_id=Income_header_row, row_id=expenses_header_row, row_id=savings_header_row)</f>
        <v>0</v>
      </c>
      <c r="F17">
        <f t="shared" si="1"/>
        <v>1</v>
      </c>
      <c r="G17" cm="1">
        <f t="array" ref="G17">1*OR(row_id=income_total_row, row_id=expenses_total_row, row_id=savings_total_row)</f>
        <v>0</v>
      </c>
      <c r="H17" s="3">
        <f t="shared" si="2"/>
        <v>0</v>
      </c>
      <c r="I17" s="2" t="str" cm="1">
        <f t="array" ref="I17">IFERROR(INDEX('Budget Planning'!$C:$C,header_row_id),"")</f>
        <v>Income</v>
      </c>
      <c r="J17" t="str" cm="1">
        <f t="array" ref="J17">IFERROR(INDEX('Budget Planning'!$C:$C,row_id),"")</f>
        <v>Freelance (Net)</v>
      </c>
      <c r="K17" s="44" cm="1">
        <f t="array" aca="1" ref="K17" ca="1">IF(OR(is_header,is_empty),"",IF(is_total,IF(selected_period="Total Year",SUMPRODUCT(Tracking[Amount],--(TRIM(Tracking[Type])=TRIM(type)),--(Tracking[Date]&gt;=DATE(selected_year,1,1)),--(Tracking[Date]&lt;DATE(selected_year+1,1,1))),SUMPRODUCT(Tracking[Amount],--(TRIM(Tracking[Type])=TRIM(type)),--(Tracking[Date]&gt;=DATE(selected_year,1,1)),--(Tracking[Date]&lt;DATE(selected_year+1,1,1)),--(MONTH(Tracking[Date])=selected_period))),IF(selected_period="Total Year",SUMPRODUCT(Tracking[Amount],--(TRIM(Tracking[Type])=TRIM(type)),--(TRIM(Tracking[Categories])=TRIM(item)),--(Tracking[Date]&gt;=DATE(selected_year,1,1)),--(Tracking[Date]&lt;DATE(selected_year+1,1,1))),SUMPRODUCT(Tracking[Amount],--(TRIM(Tracking[Type])=TRIM(type)),--(TRIM(Tracking[Categories])=TRIM(item)),--(Tracking[Date]&gt;=DATE(selected_year,1,1)),--(Tracking[Date]&lt;DATE(selected_year+1,1,1)),--(MONTH(Tracking[Date])=selected_period)))))</f>
        <v>50897</v>
      </c>
      <c r="L17" s="52" cm="1">
        <f t="array" aca="1" ref="L17" ca="1">IF(OR(is_header,is_empty),"",INDEX('Budget Planning'!$E:$FA,row_id,MATCH(IF(selected_period="Total Year",selected_year,DATE(selected_year,selected_period,1)),'Budget Planning'!$E$9:$FA$9,0)))</f>
        <v>113448</v>
      </c>
      <c r="M17" s="2" cm="1">
        <f t="array" ref="M17">IF(is_cat,IF(header_row_id=Income_header_row, MATCH(income_min_row,$C:$C,0),IF(header_row_id=expenses_header_row, MATCH(expenses_min_row,$C:$C,0),IF(header_row_id=savings_header_row, MATCH(savings_min_row,$C:$C,0),""))),"")</f>
        <v>14</v>
      </c>
      <c r="N17" s="3" cm="1">
        <f t="array" ref="N17">IF(is_cat,IF(header_row_id=Income_header_row, MATCH(income_max_row,$C:$C,0),IF(header_row_id=expenses_header_row, MATCH(expenses_max_row,$C:$C,0),IF(header_row_id=savings_header_row, MATCH(savings_max_row,$C:$C,0),""))),"")</f>
        <v>17</v>
      </c>
      <c r="O17" s="2" t="str">
        <f t="shared" si="3"/>
        <v>$K$14:$K$17</v>
      </c>
      <c r="P17">
        <f t="shared" ca="1" si="4"/>
        <v>3</v>
      </c>
      <c r="Q17" t="str">
        <f t="shared" si="5"/>
        <v>$L$14:$L$17</v>
      </c>
      <c r="R17" s="3">
        <f t="shared" ca="1" si="6"/>
        <v>3</v>
      </c>
      <c r="S17" s="2">
        <f t="shared" ca="1" si="7"/>
        <v>33</v>
      </c>
      <c r="T17" t="str">
        <f t="shared" si="8"/>
        <v>$S$14:$S$17</v>
      </c>
      <c r="U17">
        <f t="shared" ca="1" si="9"/>
        <v>3</v>
      </c>
      <c r="V17" t="str">
        <f t="shared" si="10"/>
        <v>$U$14:$U$17</v>
      </c>
      <c r="W17" s="3">
        <f t="shared" ca="1" si="11"/>
        <v>3</v>
      </c>
      <c r="X17" s="54">
        <f t="shared" ca="1" si="12"/>
        <v>12</v>
      </c>
      <c r="Y17" s="55" t="str">
        <f t="shared" ca="1" si="13"/>
        <v>Dividends (Net)</v>
      </c>
      <c r="Z17" s="58">
        <f t="shared" ca="1" si="14"/>
        <v>19950</v>
      </c>
      <c r="AA17" s="58">
        <f t="shared" ca="1" si="15"/>
        <v>1930</v>
      </c>
      <c r="AB17" s="57">
        <f t="shared" ca="1" si="16"/>
        <v>10.336787564766839</v>
      </c>
      <c r="AC17" s="58">
        <f t="shared" ca="1" si="17"/>
        <v>0</v>
      </c>
      <c r="AD17" s="58">
        <f t="shared" ca="1" si="18"/>
        <v>18020</v>
      </c>
      <c r="AF17" s="2"/>
      <c r="AI17" s="69" t="str">
        <f ca="1">Calculations!E35</f>
        <v>Salary (Net)</v>
      </c>
      <c r="AJ17" s="70">
        <f ca="1">Calculations!F35</f>
        <v>143954</v>
      </c>
      <c r="AK17" s="3"/>
      <c r="AM17" s="2"/>
      <c r="AR17" s="3"/>
    </row>
    <row r="18" spans="3:44" x14ac:dyDescent="0.25">
      <c r="C18" s="2" cm="1">
        <f t="array" ref="C18">IF(C17=-1,-1, IF(C17&lt;income_max_row,C17+1,IF(C17=income_max_row,income_total_row,IF(C17=income_total_row,"/1", IF(C17="/1",expenses_header_row,IF(C17&lt;expenses_max_row,C17+1,IF(C17=expenses_max_row,expenses_total_row,IF(C17=expenses_total_row,"/2",IF(C17="/2",savings_header_row,IF(C17&lt;savings_max_row,C17+1,IF(C17=savings_max_row,savings_total_row,-1)))))))))))</f>
        <v>24</v>
      </c>
      <c r="D18" s="3">
        <f t="shared" si="0"/>
        <v>9</v>
      </c>
      <c r="E18" s="2" cm="1">
        <f t="array" ref="E18">1*OR(row_id=Income_header_row, row_id=expenses_header_row, row_id=savings_header_row)</f>
        <v>0</v>
      </c>
      <c r="F18">
        <f t="shared" si="1"/>
        <v>0</v>
      </c>
      <c r="G18" cm="1">
        <f t="array" ref="G18">1*OR(row_id=income_total_row, row_id=expenses_total_row, row_id=savings_total_row)</f>
        <v>1</v>
      </c>
      <c r="H18" s="3">
        <f t="shared" si="2"/>
        <v>0</v>
      </c>
      <c r="I18" s="2" t="str" cm="1">
        <f t="array" ref="I18">IFERROR(INDEX('Budget Planning'!$C:$C,header_row_id),"")</f>
        <v>Income</v>
      </c>
      <c r="J18" t="str" cm="1">
        <f t="array" ref="J18">IFERROR(INDEX('Budget Planning'!$C:$C,row_id),"")</f>
        <v>Total</v>
      </c>
      <c r="K18" s="44" cm="1">
        <f t="array" aca="1" ref="K18" ca="1">IF(OR(is_header,is_empty),"",IF(is_total,IF(selected_period="Total Year",SUMPRODUCT(Tracking[Amount],--(TRIM(Tracking[Type])=TRIM(type)),--(Tracking[Date]&gt;=DATE(selected_year,1,1)),--(Tracking[Date]&lt;DATE(selected_year+1,1,1))),SUMPRODUCT(Tracking[Amount],--(TRIM(Tracking[Type])=TRIM(type)),--(Tracking[Date]&gt;=DATE(selected_year,1,1)),--(Tracking[Date]&lt;DATE(selected_year+1,1,1)),--(MONTH(Tracking[Date])=selected_period))),IF(selected_period="Total Year",SUMPRODUCT(Tracking[Amount],--(TRIM(Tracking[Type])=TRIM(type)),--(TRIM(Tracking[Categories])=TRIM(item)),--(Tracking[Date]&gt;=DATE(selected_year,1,1)),--(Tracking[Date]&lt;DATE(selected_year+1,1,1))),SUMPRODUCT(Tracking[Amount],--(TRIM(Tracking[Type])=TRIM(type)),--(TRIM(Tracking[Categories])=TRIM(item)),--(Tracking[Date]&gt;=DATE(selected_year,1,1)),--(Tracking[Date]&lt;DATE(selected_year+1,1,1)),--(MONTH(Tracking[Date])=selected_period)))))</f>
        <v>317964</v>
      </c>
      <c r="L18" s="52" cm="1">
        <f t="array" aca="1" ref="L18" ca="1">IF(OR(is_header,is_empty),"",INDEX('Budget Planning'!$E:$FA,row_id,MATCH(IF(selected_period="Total Year",selected_year,DATE(selected_year,selected_period,1)),'Budget Planning'!$E$9:$FA$9,0)))</f>
        <v>1325883</v>
      </c>
      <c r="M18" s="2" t="str" cm="1">
        <f t="array" ref="M18">IF(is_cat,IF(header_row_id=Income_header_row, MATCH(income_min_row,$C:$C,0),IF(header_row_id=expenses_header_row, MATCH(expenses_min_row,$C:$C,0),IF(header_row_id=savings_header_row, MATCH(savings_min_row,$C:$C,0),""))),"")</f>
        <v/>
      </c>
      <c r="N18" s="3" t="str" cm="1">
        <f t="array" ref="N18">IF(is_cat,IF(header_row_id=Income_header_row, MATCH(income_max_row,$C:$C,0),IF(header_row_id=expenses_header_row, MATCH(expenses_max_row,$C:$C,0),IF(header_row_id=savings_header_row, MATCH(savings_max_row,$C:$C,0),""))),"")</f>
        <v/>
      </c>
      <c r="O18" s="2" t="str">
        <f t="shared" si="3"/>
        <v/>
      </c>
      <c r="P18" t="str">
        <f t="shared" ca="1" si="4"/>
        <v/>
      </c>
      <c r="Q18" t="str">
        <f t="shared" si="5"/>
        <v/>
      </c>
      <c r="R18" s="3" t="str">
        <f t="shared" ca="1" si="6"/>
        <v/>
      </c>
      <c r="S18" s="2" t="str">
        <f t="shared" si="7"/>
        <v/>
      </c>
      <c r="T18" t="str">
        <f t="shared" si="8"/>
        <v/>
      </c>
      <c r="U18" t="str">
        <f t="shared" ca="1" si="9"/>
        <v/>
      </c>
      <c r="V18" t="str">
        <f t="shared" si="10"/>
        <v/>
      </c>
      <c r="W18" s="3" t="str">
        <f t="shared" ca="1" si="11"/>
        <v/>
      </c>
      <c r="X18" s="54">
        <f t="shared" si="12"/>
        <v>24</v>
      </c>
      <c r="Y18" s="55" t="str">
        <f t="shared" ca="1" si="13"/>
        <v>Total</v>
      </c>
      <c r="Z18" s="58">
        <f t="shared" ca="1" si="14"/>
        <v>317964</v>
      </c>
      <c r="AA18" s="58">
        <f t="shared" ca="1" si="15"/>
        <v>1325883</v>
      </c>
      <c r="AB18" s="57">
        <f t="shared" ca="1" si="16"/>
        <v>0.23981301517554715</v>
      </c>
      <c r="AC18" s="58">
        <f t="shared" ca="1" si="17"/>
        <v>1007919</v>
      </c>
      <c r="AD18" s="58">
        <f t="shared" ca="1" si="18"/>
        <v>0</v>
      </c>
      <c r="AF18" s="2"/>
      <c r="AI18" s="69" t="str">
        <f ca="1">Calculations!E36</f>
        <v>Side Hustle (Net)</v>
      </c>
      <c r="AJ18" s="70">
        <f ca="1">Calculations!F36</f>
        <v>103163</v>
      </c>
      <c r="AK18" s="3"/>
      <c r="AM18" s="2"/>
      <c r="AR18" s="3"/>
    </row>
    <row r="19" spans="3:44" x14ac:dyDescent="0.25">
      <c r="C19" s="2" t="str" cm="1">
        <f t="array" ref="C19">IF(C18=-1,-1, IF(C18&lt;income_max_row,C18+1,IF(C18=income_max_row,income_total_row,IF(C18=income_total_row,"/1", IF(C18="/1",expenses_header_row,IF(C18&lt;expenses_max_row,C18+1,IF(C18=expenses_max_row,expenses_total_row,IF(C18=expenses_total_row,"/2",IF(C18="/2",savings_header_row,IF(C18&lt;savings_max_row,C18+1,IF(C18=savings_max_row,savings_total_row,-1)))))))))))</f>
        <v>/1</v>
      </c>
      <c r="D19" s="3">
        <f t="shared" si="0"/>
        <v>-1</v>
      </c>
      <c r="E19" s="2" cm="1">
        <f t="array" ref="E19">1*OR(row_id=Income_header_row, row_id=expenses_header_row, row_id=savings_header_row)</f>
        <v>0</v>
      </c>
      <c r="F19">
        <f t="shared" si="1"/>
        <v>0</v>
      </c>
      <c r="G19" cm="1">
        <f t="array" ref="G19">1*OR(row_id=income_total_row, row_id=expenses_total_row, row_id=savings_total_row)</f>
        <v>0</v>
      </c>
      <c r="H19" s="3">
        <f t="shared" si="2"/>
        <v>1</v>
      </c>
      <c r="I19" s="2" t="str" cm="1">
        <f t="array" ref="I19">IFERROR(INDEX('Budget Planning'!$C:$C,header_row_id),"")</f>
        <v/>
      </c>
      <c r="J19" t="str" cm="1">
        <f t="array" ref="J19">IFERROR(INDEX('Budget Planning'!$C:$C,row_id),"")</f>
        <v/>
      </c>
      <c r="K19" s="44" t="str" cm="1">
        <f t="array" ref="K19">IF(OR(is_header,is_empty),"",IF(is_total,IF(selected_period="Total Year",SUMPRODUCT(Tracking[Amount],--(TRIM(Tracking[Type])=TRIM(type)),--(Tracking[Date]&gt;=DATE(selected_year,1,1)),--(Tracking[Date]&lt;DATE(selected_year+1,1,1))),SUMPRODUCT(Tracking[Amount],--(TRIM(Tracking[Type])=TRIM(type)),--(Tracking[Date]&gt;=DATE(selected_year,1,1)),--(Tracking[Date]&lt;DATE(selected_year+1,1,1)),--(MONTH(Tracking[Date])=selected_period))),IF(selected_period="Total Year",SUMPRODUCT(Tracking[Amount],--(TRIM(Tracking[Type])=TRIM(type)),--(TRIM(Tracking[Categories])=TRIM(item)),--(Tracking[Date]&gt;=DATE(selected_year,1,1)),--(Tracking[Date]&lt;DATE(selected_year+1,1,1))),SUMPRODUCT(Tracking[Amount],--(TRIM(Tracking[Type])=TRIM(type)),--(TRIM(Tracking[Categories])=TRIM(item)),--(Tracking[Date]&gt;=DATE(selected_year,1,1)),--(Tracking[Date]&lt;DATE(selected_year+1,1,1)),--(MONTH(Tracking[Date])=selected_period)))))</f>
        <v/>
      </c>
      <c r="L19" s="52" t="str" cm="1">
        <f t="array" ref="L19">IF(OR(is_header,is_empty),"",INDEX('Budget Planning'!$E:$FA,row_id,MATCH(IF(selected_period="Total Year",selected_year,DATE(selected_year,selected_period,1)),'Budget Planning'!$E$9:$FA$9,0)))</f>
        <v/>
      </c>
      <c r="M19" s="2" t="str" cm="1">
        <f t="array" ref="M19">IF(is_cat,IF(header_row_id=Income_header_row, MATCH(income_min_row,$C:$C,0),IF(header_row_id=expenses_header_row, MATCH(expenses_min_row,$C:$C,0),IF(header_row_id=savings_header_row, MATCH(savings_min_row,$C:$C,0),""))),"")</f>
        <v/>
      </c>
      <c r="N19" s="3" t="str" cm="1">
        <f t="array" ref="N19">IF(is_cat,IF(header_row_id=Income_header_row, MATCH(income_max_row,$C:$C,0),IF(header_row_id=expenses_header_row, MATCH(expenses_max_row,$C:$C,0),IF(header_row_id=savings_header_row, MATCH(savings_max_row,$C:$C,0),""))),"")</f>
        <v/>
      </c>
      <c r="O19" s="2" t="str">
        <f t="shared" si="3"/>
        <v/>
      </c>
      <c r="P19" t="str">
        <f t="shared" ca="1" si="4"/>
        <v/>
      </c>
      <c r="Q19" t="str">
        <f t="shared" si="5"/>
        <v/>
      </c>
      <c r="R19" s="3" t="str">
        <f t="shared" ca="1" si="6"/>
        <v/>
      </c>
      <c r="S19" s="2" t="str">
        <f t="shared" si="7"/>
        <v/>
      </c>
      <c r="T19" t="str">
        <f t="shared" si="8"/>
        <v/>
      </c>
      <c r="U19" t="str">
        <f t="shared" ca="1" si="9"/>
        <v/>
      </c>
      <c r="V19" t="str">
        <f t="shared" si="10"/>
        <v/>
      </c>
      <c r="W19" s="3" t="str">
        <f t="shared" ca="1" si="11"/>
        <v/>
      </c>
      <c r="X19" s="54" t="str">
        <f t="shared" si="12"/>
        <v>/1</v>
      </c>
      <c r="Y19" s="55" t="str">
        <f t="shared" si="13"/>
        <v/>
      </c>
      <c r="Z19" s="58" t="str">
        <f t="shared" si="14"/>
        <v/>
      </c>
      <c r="AA19" s="58" t="str">
        <f t="shared" si="15"/>
        <v/>
      </c>
      <c r="AB19" s="57" t="str">
        <f t="shared" si="16"/>
        <v/>
      </c>
      <c r="AC19" s="58" t="str">
        <f t="shared" si="17"/>
        <v/>
      </c>
      <c r="AD19" s="58" t="str">
        <f t="shared" si="18"/>
        <v/>
      </c>
      <c r="AF19" s="2"/>
      <c r="AI19" s="69" t="str">
        <f ca="1">Calculations!E37</f>
        <v>Freelance (Net)</v>
      </c>
      <c r="AJ19" s="70">
        <f ca="1">Calculations!F37</f>
        <v>50897</v>
      </c>
      <c r="AK19" s="3"/>
      <c r="AM19" s="2"/>
      <c r="AR19" s="3"/>
    </row>
    <row r="20" spans="3:44" x14ac:dyDescent="0.25">
      <c r="C20" s="2" cm="1">
        <f t="array" ref="C20">IF(C19=-1,-1, IF(C19&lt;income_max_row,C19+1,IF(C19=income_max_row,income_total_row,IF(C19=income_total_row,"/1", IF(C19="/1",expenses_header_row,IF(C19&lt;expenses_max_row,C19+1,IF(C19=expenses_max_row,expenses_total_row,IF(C19=expenses_total_row,"/2",IF(C19="/2",savings_header_row,IF(C19&lt;savings_max_row,C19+1,IF(C19=savings_max_row,savings_total_row,-1)))))))))))</f>
        <v>26</v>
      </c>
      <c r="D20" s="3">
        <f t="shared" si="0"/>
        <v>26</v>
      </c>
      <c r="E20" s="2" cm="1">
        <f t="array" ref="E20">1*OR(row_id=Income_header_row, row_id=expenses_header_row, row_id=savings_header_row)</f>
        <v>1</v>
      </c>
      <c r="F20">
        <f t="shared" si="1"/>
        <v>0</v>
      </c>
      <c r="G20" cm="1">
        <f t="array" ref="G20">1*OR(row_id=income_total_row, row_id=expenses_total_row, row_id=savings_total_row)</f>
        <v>0</v>
      </c>
      <c r="H20" s="3">
        <f t="shared" si="2"/>
        <v>0</v>
      </c>
      <c r="I20" s="2" t="str" cm="1">
        <f t="array" ref="I20">IFERROR(INDEX('Budget Planning'!$C:$C,header_row_id),"")</f>
        <v xml:space="preserve"> Expenses</v>
      </c>
      <c r="J20" t="str" cm="1">
        <f t="array" ref="J20">IFERROR(INDEX('Budget Planning'!$C:$C,row_id),"")</f>
        <v xml:space="preserve"> Expenses</v>
      </c>
      <c r="K20" s="44" t="str" cm="1">
        <f t="array" ref="K20">IF(OR(is_header,is_empty),"",IF(is_total,IF(selected_period="Total Year",SUMPRODUCT(Tracking[Amount],--(TRIM(Tracking[Type])=TRIM(type)),--(Tracking[Date]&gt;=DATE(selected_year,1,1)),--(Tracking[Date]&lt;DATE(selected_year+1,1,1))),SUMPRODUCT(Tracking[Amount],--(TRIM(Tracking[Type])=TRIM(type)),--(Tracking[Date]&gt;=DATE(selected_year,1,1)),--(Tracking[Date]&lt;DATE(selected_year+1,1,1)),--(MONTH(Tracking[Date])=selected_period))),IF(selected_period="Total Year",SUMPRODUCT(Tracking[Amount],--(TRIM(Tracking[Type])=TRIM(type)),--(TRIM(Tracking[Categories])=TRIM(item)),--(Tracking[Date]&gt;=DATE(selected_year,1,1)),--(Tracking[Date]&lt;DATE(selected_year+1,1,1))),SUMPRODUCT(Tracking[Amount],--(TRIM(Tracking[Type])=TRIM(type)),--(TRIM(Tracking[Categories])=TRIM(item)),--(Tracking[Date]&gt;=DATE(selected_year,1,1)),--(Tracking[Date]&lt;DATE(selected_year+1,1,1)),--(MONTH(Tracking[Date])=selected_period)))))</f>
        <v/>
      </c>
      <c r="L20" s="52" t="str" cm="1">
        <f t="array" ref="L20">IF(OR(is_header,is_empty),"",INDEX('Budget Planning'!$E:$FA,row_id,MATCH(IF(selected_period="Total Year",selected_year,DATE(selected_year,selected_period,1)),'Budget Planning'!$E$9:$FA$9,0)))</f>
        <v/>
      </c>
      <c r="M20" s="2" t="str" cm="1">
        <f t="array" ref="M20">IF(is_cat,IF(header_row_id=Income_header_row, MATCH(income_min_row,$C:$C,0),IF(header_row_id=expenses_header_row, MATCH(expenses_min_row,$C:$C,0),IF(header_row_id=savings_header_row, MATCH(savings_min_row,$C:$C,0),""))),"")</f>
        <v/>
      </c>
      <c r="N20" s="3" t="str" cm="1">
        <f t="array" ref="N20">IF(is_cat,IF(header_row_id=Income_header_row, MATCH(income_max_row,$C:$C,0),IF(header_row_id=expenses_header_row, MATCH(expenses_max_row,$C:$C,0),IF(header_row_id=savings_header_row, MATCH(savings_max_row,$C:$C,0),""))),"")</f>
        <v/>
      </c>
      <c r="O20" s="2" t="str">
        <f t="shared" si="3"/>
        <v/>
      </c>
      <c r="P20" t="str">
        <f t="shared" ca="1" si="4"/>
        <v/>
      </c>
      <c r="Q20" t="str">
        <f t="shared" si="5"/>
        <v/>
      </c>
      <c r="R20" s="3" t="str">
        <f t="shared" ca="1" si="6"/>
        <v/>
      </c>
      <c r="S20" s="2" t="str">
        <f t="shared" si="7"/>
        <v/>
      </c>
      <c r="T20" t="str">
        <f t="shared" si="8"/>
        <v/>
      </c>
      <c r="U20" t="str">
        <f t="shared" ca="1" si="9"/>
        <v/>
      </c>
      <c r="V20" t="str">
        <f t="shared" si="10"/>
        <v/>
      </c>
      <c r="W20" s="3" t="str">
        <f t="shared" ca="1" si="11"/>
        <v/>
      </c>
      <c r="X20" s="54">
        <f t="shared" si="12"/>
        <v>26</v>
      </c>
      <c r="Y20" s="55" t="str">
        <f t="shared" ca="1" si="13"/>
        <v xml:space="preserve"> Expenses</v>
      </c>
      <c r="Z20" s="58" t="str">
        <f t="shared" si="14"/>
        <v>Tracked</v>
      </c>
      <c r="AA20" s="58" t="str">
        <f t="shared" si="15"/>
        <v>Budget</v>
      </c>
      <c r="AB20" s="57" t="str">
        <f t="shared" si="16"/>
        <v>% Compl.</v>
      </c>
      <c r="AC20" s="58" t="str">
        <f t="shared" si="17"/>
        <v>Remaining</v>
      </c>
      <c r="AD20" s="58" t="str">
        <f t="shared" si="18"/>
        <v>Excess</v>
      </c>
      <c r="AF20" s="2"/>
      <c r="AI20" s="69" t="str">
        <f ca="1">Calculations!E38</f>
        <v>Dividends (Net)</v>
      </c>
      <c r="AJ20" s="70">
        <f ca="1">Calculations!F38</f>
        <v>19950</v>
      </c>
      <c r="AK20" s="3"/>
      <c r="AM20" s="2"/>
      <c r="AR20" s="3"/>
    </row>
    <row r="21" spans="3:44" x14ac:dyDescent="0.25">
      <c r="C21" s="2" cm="1">
        <f t="array" ref="C21">IF(C20=-1,-1, IF(C20&lt;income_max_row,C20+1,IF(C20=income_max_row,income_total_row,IF(C20=income_total_row,"/1", IF(C20="/1",expenses_header_row,IF(C20&lt;expenses_max_row,C20+1,IF(C20=expenses_max_row,expenses_total_row,IF(C20=expenses_total_row,"/2",IF(C20="/2",savings_header_row,IF(C20&lt;savings_max_row,C20+1,IF(C20=savings_max_row,savings_total_row,-1)))))))))))</f>
        <v>27</v>
      </c>
      <c r="D21" s="3">
        <f t="shared" si="0"/>
        <v>26</v>
      </c>
      <c r="E21" s="2" cm="1">
        <f t="array" ref="E21">1*OR(row_id=Income_header_row, row_id=expenses_header_row, row_id=savings_header_row)</f>
        <v>0</v>
      </c>
      <c r="F21">
        <f t="shared" si="1"/>
        <v>1</v>
      </c>
      <c r="G21" cm="1">
        <f t="array" ref="G21">1*OR(row_id=income_total_row, row_id=expenses_total_row, row_id=savings_total_row)</f>
        <v>0</v>
      </c>
      <c r="H21" s="3">
        <f t="shared" si="2"/>
        <v>0</v>
      </c>
      <c r="I21" s="2" t="str" cm="1">
        <f t="array" ref="I21">IFERROR(INDEX('Budget Planning'!$C:$C,header_row_id),"")</f>
        <v xml:space="preserve"> Expenses</v>
      </c>
      <c r="J21" t="str" cm="1">
        <f t="array" ref="J21">IFERROR(INDEX('Budget Planning'!$C:$C,row_id),"")</f>
        <v>Rent</v>
      </c>
      <c r="K21" s="44" cm="1">
        <f t="array" aca="1" ref="K21" ca="1">IF(OR(is_header,is_empty),"",IF(is_total,IF(selected_period="Total Year",SUMPRODUCT(Tracking[Amount],--(TRIM(Tracking[Type])=TRIM(type)),--(Tracking[Date]&gt;=DATE(selected_year,1,1)),--(Tracking[Date]&lt;DATE(selected_year+1,1,1))),SUMPRODUCT(Tracking[Amount],--(TRIM(Tracking[Type])=TRIM(type)),--(Tracking[Date]&gt;=DATE(selected_year,1,1)),--(Tracking[Date]&lt;DATE(selected_year+1,1,1)),--(MONTH(Tracking[Date])=selected_period))),IF(selected_period="Total Year",SUMPRODUCT(Tracking[Amount],--(TRIM(Tracking[Type])=TRIM(type)),--(TRIM(Tracking[Categories])=TRIM(item)),--(Tracking[Date]&gt;=DATE(selected_year,1,1)),--(Tracking[Date]&lt;DATE(selected_year+1,1,1))),SUMPRODUCT(Tracking[Amount],--(TRIM(Tracking[Type])=TRIM(type)),--(TRIM(Tracking[Categories])=TRIM(item)),--(Tracking[Date]&gt;=DATE(selected_year,1,1)),--(Tracking[Date]&lt;DATE(selected_year+1,1,1)),--(MONTH(Tracking[Date])=selected_period)))))</f>
        <v>25000</v>
      </c>
      <c r="L21" s="52" cm="1">
        <f t="array" aca="1" ref="L21" ca="1">IF(OR(is_header,is_empty),"",INDEX('Budget Planning'!$E:$FA,row_id,MATCH(IF(selected_period="Total Year",selected_year,DATE(selected_year,selected_period,1)),'Budget Planning'!$E$9:$FA$9,0)))</f>
        <v>223500</v>
      </c>
      <c r="M21" s="2" cm="1">
        <f t="array" ref="M21">IF(is_cat,IF(header_row_id=Income_header_row, MATCH(income_min_row,$C:$C,0),IF(header_row_id=expenses_header_row, MATCH(expenses_min_row,$C:$C,0),IF(header_row_id=savings_header_row, MATCH(savings_min_row,$C:$C,0),""))),"")</f>
        <v>21</v>
      </c>
      <c r="N21" s="3" cm="1">
        <f t="array" ref="N21">IF(is_cat,IF(header_row_id=Income_header_row, MATCH(income_max_row,$C:$C,0),IF(header_row_id=expenses_header_row, MATCH(expenses_max_row,$C:$C,0),IF(header_row_id=savings_header_row, MATCH(savings_max_row,$C:$C,0),""))),"")</f>
        <v>29</v>
      </c>
      <c r="O21" s="2" t="str">
        <f t="shared" si="3"/>
        <v>$K$21:$K$29</v>
      </c>
      <c r="P21">
        <f t="shared" ca="1" si="4"/>
        <v>2</v>
      </c>
      <c r="Q21" t="str">
        <f t="shared" si="5"/>
        <v>$L$21:$L$29</v>
      </c>
      <c r="R21" s="3">
        <f t="shared" ca="1" si="6"/>
        <v>1</v>
      </c>
      <c r="S21" s="2">
        <f t="shared" ca="1" si="7"/>
        <v>21</v>
      </c>
      <c r="T21" t="str">
        <f t="shared" si="8"/>
        <v>$S$21:$S$29</v>
      </c>
      <c r="U21">
        <f t="shared" ca="1" si="9"/>
        <v>2</v>
      </c>
      <c r="V21" t="str">
        <f t="shared" si="10"/>
        <v>$U$21:$U$21</v>
      </c>
      <c r="W21" s="3">
        <f t="shared" ca="1" si="11"/>
        <v>2</v>
      </c>
      <c r="X21" s="54">
        <f t="shared" ca="1" si="12"/>
        <v>28</v>
      </c>
      <c r="Y21" s="55" t="str">
        <f t="shared" ca="1" si="13"/>
        <v>Groceries</v>
      </c>
      <c r="Z21" s="58">
        <f t="shared" ca="1" si="14"/>
        <v>45830</v>
      </c>
      <c r="AA21" s="58">
        <f t="shared" ca="1" si="15"/>
        <v>186816</v>
      </c>
      <c r="AB21" s="57">
        <f t="shared" ca="1" si="16"/>
        <v>0.24532159986296678</v>
      </c>
      <c r="AC21" s="58">
        <f t="shared" ca="1" si="17"/>
        <v>140986</v>
      </c>
      <c r="AD21" s="58">
        <f t="shared" ca="1" si="18"/>
        <v>0</v>
      </c>
      <c r="AF21" s="2"/>
      <c r="AI21" s="69" t="str">
        <f>Calculations!E39</f>
        <v/>
      </c>
      <c r="AJ21" s="70" t="str">
        <f>Calculations!F39</f>
        <v/>
      </c>
      <c r="AK21" s="3"/>
      <c r="AM21" s="2"/>
      <c r="AR21" s="3"/>
    </row>
    <row r="22" spans="3:44" x14ac:dyDescent="0.25">
      <c r="C22" s="2" cm="1">
        <f t="array" ref="C22">IF(C21=-1,-1, IF(C21&lt;income_max_row,C21+1,IF(C21=income_max_row,income_total_row,IF(C21=income_total_row,"/1", IF(C21="/1",expenses_header_row,IF(C21&lt;expenses_max_row,C21+1,IF(C21=expenses_max_row,expenses_total_row,IF(C21=expenses_total_row,"/2",IF(C21="/2",savings_header_row,IF(C21&lt;savings_max_row,C21+1,IF(C21=savings_max_row,savings_total_row,-1)))))))))))</f>
        <v>28</v>
      </c>
      <c r="D22" s="3">
        <f t="shared" si="0"/>
        <v>26</v>
      </c>
      <c r="E22" s="2" cm="1">
        <f t="array" ref="E22">1*OR(row_id=Income_header_row, row_id=expenses_header_row, row_id=savings_header_row)</f>
        <v>0</v>
      </c>
      <c r="F22">
        <f t="shared" si="1"/>
        <v>1</v>
      </c>
      <c r="G22" cm="1">
        <f t="array" ref="G22">1*OR(row_id=income_total_row, row_id=expenses_total_row, row_id=savings_total_row)</f>
        <v>0</v>
      </c>
      <c r="H22" s="3">
        <f t="shared" si="2"/>
        <v>0</v>
      </c>
      <c r="I22" s="2" t="str" cm="1">
        <f t="array" ref="I22">IFERROR(INDEX('Budget Planning'!$C:$C,header_row_id),"")</f>
        <v xml:space="preserve"> Expenses</v>
      </c>
      <c r="J22" t="str" cm="1">
        <f t="array" ref="J22">IFERROR(INDEX('Budget Planning'!$C:$C,row_id),"")</f>
        <v>Fuel</v>
      </c>
      <c r="K22" s="44" cm="1">
        <f t="array" aca="1" ref="K22" ca="1">IF(OR(is_header,is_empty),"",IF(is_total,IF(selected_period="Total Year",SUMPRODUCT(Tracking[Amount],--(TRIM(Tracking[Type])=TRIM(type)),--(Tracking[Date]&gt;=DATE(selected_year,1,1)),--(Tracking[Date]&lt;DATE(selected_year+1,1,1))),SUMPRODUCT(Tracking[Amount],--(TRIM(Tracking[Type])=TRIM(type)),--(Tracking[Date]&gt;=DATE(selected_year,1,1)),--(Tracking[Date]&lt;DATE(selected_year+1,1,1)),--(MONTH(Tracking[Date])=selected_period))),IF(selected_period="Total Year",SUMPRODUCT(Tracking[Amount],--(TRIM(Tracking[Type])=TRIM(type)),--(TRIM(Tracking[Categories])=TRIM(item)),--(Tracking[Date]&gt;=DATE(selected_year,1,1)),--(Tracking[Date]&lt;DATE(selected_year+1,1,1))),SUMPRODUCT(Tracking[Amount],--(TRIM(Tracking[Type])=TRIM(type)),--(TRIM(Tracking[Categories])=TRIM(item)),--(Tracking[Date]&gt;=DATE(selected_year,1,1)),--(Tracking[Date]&lt;DATE(selected_year+1,1,1)),--(MONTH(Tracking[Date])=selected_period)))))</f>
        <v>7500</v>
      </c>
      <c r="L22" s="52" cm="1">
        <f t="array" aca="1" ref="L22" ca="1">IF(OR(is_header,is_empty),"",INDEX('Budget Planning'!$E:$FA,row_id,MATCH(IF(selected_period="Total Year",selected_year,DATE(selected_year,selected_period,1)),'Budget Planning'!$E$9:$FA$9,0)))</f>
        <v>36000</v>
      </c>
      <c r="M22" s="2" cm="1">
        <f t="array" ref="M22">IF(is_cat,IF(header_row_id=Income_header_row, MATCH(income_min_row,$C:$C,0),IF(header_row_id=expenses_header_row, MATCH(expenses_min_row,$C:$C,0),IF(header_row_id=savings_header_row, MATCH(savings_min_row,$C:$C,0),""))),"")</f>
        <v>21</v>
      </c>
      <c r="N22" s="3" cm="1">
        <f t="array" ref="N22">IF(is_cat,IF(header_row_id=Income_header_row, MATCH(income_max_row,$C:$C,0),IF(header_row_id=expenses_header_row, MATCH(expenses_max_row,$C:$C,0),IF(header_row_id=savings_header_row, MATCH(savings_max_row,$C:$C,0),""))),"")</f>
        <v>29</v>
      </c>
      <c r="O22" s="2" t="str">
        <f t="shared" si="3"/>
        <v>$K$21:$K$29</v>
      </c>
      <c r="P22">
        <f t="shared" ca="1" si="4"/>
        <v>3</v>
      </c>
      <c r="Q22" t="str">
        <f t="shared" si="5"/>
        <v>$L$21:$L$29</v>
      </c>
      <c r="R22" s="3">
        <f t="shared" ca="1" si="6"/>
        <v>3</v>
      </c>
      <c r="S22" s="2">
        <f t="shared" ca="1" si="7"/>
        <v>33</v>
      </c>
      <c r="T22" t="str">
        <f t="shared" si="8"/>
        <v>$S$21:$S$29</v>
      </c>
      <c r="U22">
        <f t="shared" ca="1" si="9"/>
        <v>3</v>
      </c>
      <c r="V22" t="str">
        <f t="shared" si="10"/>
        <v>$U$21:$U$22</v>
      </c>
      <c r="W22" s="3">
        <f t="shared" ca="1" si="11"/>
        <v>3</v>
      </c>
      <c r="X22" s="54">
        <f t="shared" ca="1" si="12"/>
        <v>29</v>
      </c>
      <c r="Y22" s="55" t="str">
        <f t="shared" ca="1" si="13"/>
        <v>Rent</v>
      </c>
      <c r="Z22" s="58">
        <f t="shared" ca="1" si="14"/>
        <v>25000</v>
      </c>
      <c r="AA22" s="58">
        <f t="shared" ca="1" si="15"/>
        <v>223500</v>
      </c>
      <c r="AB22" s="57">
        <f t="shared" ca="1" si="16"/>
        <v>0.11185682326621924</v>
      </c>
      <c r="AC22" s="58">
        <f t="shared" ca="1" si="17"/>
        <v>198500</v>
      </c>
      <c r="AD22" s="58">
        <f t="shared" ca="1" si="18"/>
        <v>0</v>
      </c>
      <c r="AF22" s="2"/>
      <c r="AI22" s="69" t="str">
        <f ca="1">Calculations!E40</f>
        <v/>
      </c>
      <c r="AJ22" s="70" t="str">
        <f ca="1">Calculations!F40</f>
        <v/>
      </c>
      <c r="AK22" s="3"/>
      <c r="AM22" s="2"/>
      <c r="AR22" s="3"/>
    </row>
    <row r="23" spans="3:44" x14ac:dyDescent="0.25">
      <c r="C23" s="2" cm="1">
        <f t="array" ref="C23">IF(C22=-1,-1, IF(C22&lt;income_max_row,C22+1,IF(C22=income_max_row,income_total_row,IF(C22=income_total_row,"/1", IF(C22="/1",expenses_header_row,IF(C22&lt;expenses_max_row,C22+1,IF(C22=expenses_max_row,expenses_total_row,IF(C22=expenses_total_row,"/2",IF(C22="/2",savings_header_row,IF(C22&lt;savings_max_row,C22+1,IF(C22=savings_max_row,savings_total_row,-1)))))))))))</f>
        <v>29</v>
      </c>
      <c r="D23" s="3">
        <f t="shared" si="0"/>
        <v>26</v>
      </c>
      <c r="E23" s="2" cm="1">
        <f t="array" ref="E23">1*OR(row_id=Income_header_row, row_id=expenses_header_row, row_id=savings_header_row)</f>
        <v>0</v>
      </c>
      <c r="F23">
        <f t="shared" si="1"/>
        <v>1</v>
      </c>
      <c r="G23" cm="1">
        <f t="array" ref="G23">1*OR(row_id=income_total_row, row_id=expenses_total_row, row_id=savings_total_row)</f>
        <v>0</v>
      </c>
      <c r="H23" s="3">
        <f t="shared" si="2"/>
        <v>0</v>
      </c>
      <c r="I23" s="2" t="str" cm="1">
        <f t="array" ref="I23">IFERROR(INDEX('Budget Planning'!$C:$C,header_row_id),"")</f>
        <v xml:space="preserve"> Expenses</v>
      </c>
      <c r="J23" t="str" cm="1">
        <f t="array" ref="J23">IFERROR(INDEX('Budget Planning'!$C:$C,row_id),"")</f>
        <v>Groceries</v>
      </c>
      <c r="K23" s="44" cm="1">
        <f t="array" aca="1" ref="K23" ca="1">IF(OR(is_header,is_empty),"",IF(is_total,IF(selected_period="Total Year",SUMPRODUCT(Tracking[Amount],--(TRIM(Tracking[Type])=TRIM(type)),--(Tracking[Date]&gt;=DATE(selected_year,1,1)),--(Tracking[Date]&lt;DATE(selected_year+1,1,1))),SUMPRODUCT(Tracking[Amount],--(TRIM(Tracking[Type])=TRIM(type)),--(Tracking[Date]&gt;=DATE(selected_year,1,1)),--(Tracking[Date]&lt;DATE(selected_year+1,1,1)),--(MONTH(Tracking[Date])=selected_period))),IF(selected_period="Total Year",SUMPRODUCT(Tracking[Amount],--(TRIM(Tracking[Type])=TRIM(type)),--(TRIM(Tracking[Categories])=TRIM(item)),--(Tracking[Date]&gt;=DATE(selected_year,1,1)),--(Tracking[Date]&lt;DATE(selected_year+1,1,1))),SUMPRODUCT(Tracking[Amount],--(TRIM(Tracking[Type])=TRIM(type)),--(TRIM(Tracking[Categories])=TRIM(item)),--(Tracking[Date]&gt;=DATE(selected_year,1,1)),--(Tracking[Date]&lt;DATE(selected_year+1,1,1)),--(MONTH(Tracking[Date])=selected_period)))))</f>
        <v>45830</v>
      </c>
      <c r="L23" s="52" cm="1">
        <f t="array" aca="1" ref="L23" ca="1">IF(OR(is_header,is_empty),"",INDEX('Budget Planning'!$E:$FA,row_id,MATCH(IF(selected_period="Total Year",selected_year,DATE(selected_year,selected_period,1)),'Budget Planning'!$E$9:$FA$9,0)))</f>
        <v>186816</v>
      </c>
      <c r="M23" s="2" cm="1">
        <f t="array" ref="M23">IF(is_cat,IF(header_row_id=Income_header_row, MATCH(income_min_row,$C:$C,0),IF(header_row_id=expenses_header_row, MATCH(expenses_min_row,$C:$C,0),IF(header_row_id=savings_header_row, MATCH(savings_min_row,$C:$C,0),""))),"")</f>
        <v>21</v>
      </c>
      <c r="N23" s="3" cm="1">
        <f t="array" ref="N23">IF(is_cat,IF(header_row_id=Income_header_row, MATCH(income_max_row,$C:$C,0),IF(header_row_id=expenses_header_row, MATCH(expenses_max_row,$C:$C,0),IF(header_row_id=savings_header_row, MATCH(savings_max_row,$C:$C,0),""))),"")</f>
        <v>29</v>
      </c>
      <c r="O23" s="2" t="str">
        <f t="shared" si="3"/>
        <v>$K$21:$K$29</v>
      </c>
      <c r="P23">
        <f t="shared" ca="1" si="4"/>
        <v>1</v>
      </c>
      <c r="Q23" t="str">
        <f t="shared" si="5"/>
        <v>$L$21:$L$29</v>
      </c>
      <c r="R23" s="3">
        <f t="shared" ca="1" si="6"/>
        <v>2</v>
      </c>
      <c r="S23" s="2">
        <f t="shared" ca="1" si="7"/>
        <v>12</v>
      </c>
      <c r="T23" t="str">
        <f t="shared" si="8"/>
        <v>$S$21:$S$29</v>
      </c>
      <c r="U23">
        <f t="shared" ca="1" si="9"/>
        <v>1</v>
      </c>
      <c r="V23" t="str">
        <f t="shared" si="10"/>
        <v>$U$21:$U$23</v>
      </c>
      <c r="W23" s="3">
        <f t="shared" ca="1" si="11"/>
        <v>1</v>
      </c>
      <c r="X23" s="54">
        <f t="shared" ca="1" si="12"/>
        <v>27</v>
      </c>
      <c r="Y23" s="55" t="str">
        <f t="shared" ca="1" si="13"/>
        <v>Fuel</v>
      </c>
      <c r="Z23" s="58">
        <f t="shared" ca="1" si="14"/>
        <v>7500</v>
      </c>
      <c r="AA23" s="58">
        <f t="shared" ca="1" si="15"/>
        <v>36000</v>
      </c>
      <c r="AB23" s="57">
        <f t="shared" ca="1" si="16"/>
        <v>0.20833333333333334</v>
      </c>
      <c r="AC23" s="58">
        <f t="shared" ca="1" si="17"/>
        <v>28500</v>
      </c>
      <c r="AD23" s="58">
        <f t="shared" ca="1" si="18"/>
        <v>0</v>
      </c>
      <c r="AF23" s="2"/>
      <c r="AI23" s="71" t="str">
        <f>Calculations!E41</f>
        <v>Total</v>
      </c>
      <c r="AJ23" s="72">
        <f ca="1">Calculations!F41</f>
        <v>317964</v>
      </c>
      <c r="AK23" s="3"/>
      <c r="AM23" s="2"/>
      <c r="AR23" s="3"/>
    </row>
    <row r="24" spans="3:44" x14ac:dyDescent="0.25">
      <c r="C24" s="2" cm="1">
        <f t="array" ref="C24">IF(C23=-1,-1, IF(C23&lt;income_max_row,C23+1,IF(C23=income_max_row,income_total_row,IF(C23=income_total_row,"/1", IF(C23="/1",expenses_header_row,IF(C23&lt;expenses_max_row,C23+1,IF(C23=expenses_max_row,expenses_total_row,IF(C23=expenses_total_row,"/2",IF(C23="/2",savings_header_row,IF(C23&lt;savings_max_row,C23+1,IF(C23=savings_max_row,savings_total_row,-1)))))))))))</f>
        <v>30</v>
      </c>
      <c r="D24" s="3">
        <f t="shared" si="0"/>
        <v>26</v>
      </c>
      <c r="E24" s="2" cm="1">
        <f t="array" ref="E24">1*OR(row_id=Income_header_row, row_id=expenses_header_row, row_id=savings_header_row)</f>
        <v>0</v>
      </c>
      <c r="F24">
        <f t="shared" si="1"/>
        <v>1</v>
      </c>
      <c r="G24" cm="1">
        <f t="array" ref="G24">1*OR(row_id=income_total_row, row_id=expenses_total_row, row_id=savings_total_row)</f>
        <v>0</v>
      </c>
      <c r="H24" s="3">
        <f t="shared" si="2"/>
        <v>0</v>
      </c>
      <c r="I24" s="2" t="str" cm="1">
        <f t="array" ref="I24">IFERROR(INDEX('Budget Planning'!$C:$C,header_row_id),"")</f>
        <v xml:space="preserve"> Expenses</v>
      </c>
      <c r="J24" t="str" cm="1">
        <f t="array" ref="J24">IFERROR(INDEX('Budget Planning'!$C:$C,row_id),"")</f>
        <v>MISC</v>
      </c>
      <c r="K24" s="44" cm="1">
        <f t="array" aca="1" ref="K24" ca="1">IF(OR(is_header,is_empty),"",IF(is_total,IF(selected_period="Total Year",SUMPRODUCT(Tracking[Amount],--(TRIM(Tracking[Type])=TRIM(type)),--(Tracking[Date]&gt;=DATE(selected_year,1,1)),--(Tracking[Date]&lt;DATE(selected_year+1,1,1))),SUMPRODUCT(Tracking[Amount],--(TRIM(Tracking[Type])=TRIM(type)),--(Tracking[Date]&gt;=DATE(selected_year,1,1)),--(Tracking[Date]&lt;DATE(selected_year+1,1,1)),--(MONTH(Tracking[Date])=selected_period))),IF(selected_period="Total Year",SUMPRODUCT(Tracking[Amount],--(TRIM(Tracking[Type])=TRIM(type)),--(TRIM(Tracking[Categories])=TRIM(item)),--(Tracking[Date]&gt;=DATE(selected_year,1,1)),--(Tracking[Date]&lt;DATE(selected_year+1,1,1))),SUMPRODUCT(Tracking[Amount],--(TRIM(Tracking[Type])=TRIM(type)),--(TRIM(Tracking[Categories])=TRIM(item)),--(Tracking[Date]&gt;=DATE(selected_year,1,1)),--(Tracking[Date]&lt;DATE(selected_year+1,1,1)),--(MONTH(Tracking[Date])=selected_period)))))</f>
        <v>3222</v>
      </c>
      <c r="L24" s="52" cm="1">
        <f t="array" aca="1" ref="L24" ca="1">IF(OR(is_header,is_empty),"",INDEX('Budget Planning'!$E:$FA,row_id,MATCH(IF(selected_period="Total Year",selected_year,DATE(selected_year,selected_period,1)),'Budget Planning'!$E$9:$FA$9,0)))</f>
        <v>12000</v>
      </c>
      <c r="M24" s="2" cm="1">
        <f t="array" ref="M24">IF(is_cat,IF(header_row_id=Income_header_row, MATCH(income_min_row,$C:$C,0),IF(header_row_id=expenses_header_row, MATCH(expenses_min_row,$C:$C,0),IF(header_row_id=savings_header_row, MATCH(savings_min_row,$C:$C,0),""))),"")</f>
        <v>21</v>
      </c>
      <c r="N24" s="3" cm="1">
        <f t="array" ref="N24">IF(is_cat,IF(header_row_id=Income_header_row, MATCH(income_max_row,$C:$C,0),IF(header_row_id=expenses_header_row, MATCH(expenses_max_row,$C:$C,0),IF(header_row_id=savings_header_row, MATCH(savings_max_row,$C:$C,0),""))),"")</f>
        <v>29</v>
      </c>
      <c r="O24" s="2" t="str">
        <f t="shared" si="3"/>
        <v>$K$21:$K$29</v>
      </c>
      <c r="P24">
        <f t="shared" ca="1" si="4"/>
        <v>5</v>
      </c>
      <c r="Q24" t="str">
        <f t="shared" si="5"/>
        <v>$L$21:$L$29</v>
      </c>
      <c r="R24" s="3">
        <f t="shared" ca="1" si="6"/>
        <v>7</v>
      </c>
      <c r="S24" s="2">
        <f t="shared" ca="1" si="7"/>
        <v>57</v>
      </c>
      <c r="T24" t="str">
        <f t="shared" si="8"/>
        <v>$S$21:$S$29</v>
      </c>
      <c r="U24">
        <f t="shared" ca="1" si="9"/>
        <v>5</v>
      </c>
      <c r="V24" t="str">
        <f t="shared" si="10"/>
        <v>$U$21:$U$24</v>
      </c>
      <c r="W24" s="3">
        <f t="shared" ca="1" si="11"/>
        <v>5</v>
      </c>
      <c r="X24" s="54">
        <f t="shared" ca="1" si="12"/>
        <v>31</v>
      </c>
      <c r="Y24" s="55" t="str">
        <f t="shared" ca="1" si="13"/>
        <v>Fun &amp; Vacation</v>
      </c>
      <c r="Z24" s="58">
        <f t="shared" ca="1" si="14"/>
        <v>6430</v>
      </c>
      <c r="AA24" s="58">
        <f t="shared" ca="1" si="15"/>
        <v>34300</v>
      </c>
      <c r="AB24" s="57">
        <f t="shared" ca="1" si="16"/>
        <v>0.18746355685131194</v>
      </c>
      <c r="AC24" s="58">
        <f t="shared" ca="1" si="17"/>
        <v>27870</v>
      </c>
      <c r="AD24" s="58">
        <f t="shared" ca="1" si="18"/>
        <v>0</v>
      </c>
      <c r="AF24" s="4"/>
      <c r="AG24" s="5"/>
      <c r="AH24" s="5"/>
      <c r="AI24" s="5"/>
      <c r="AJ24" s="5"/>
      <c r="AK24" s="62"/>
      <c r="AM24" s="4"/>
      <c r="AN24" s="5"/>
      <c r="AO24" s="5"/>
      <c r="AP24" s="5"/>
      <c r="AQ24" s="5"/>
      <c r="AR24" s="62"/>
    </row>
    <row r="25" spans="3:44" x14ac:dyDescent="0.25">
      <c r="C25" s="2" cm="1">
        <f t="array" ref="C25">IF(C24=-1,-1, IF(C24&lt;income_max_row,C24+1,IF(C24=income_max_row,income_total_row,IF(C24=income_total_row,"/1", IF(C24="/1",expenses_header_row,IF(C24&lt;expenses_max_row,C24+1,IF(C24=expenses_max_row,expenses_total_row,IF(C24=expenses_total_row,"/2",IF(C24="/2",savings_header_row,IF(C24&lt;savings_max_row,C24+1,IF(C24=savings_max_row,savings_total_row,-1)))))))))))</f>
        <v>31</v>
      </c>
      <c r="D25" s="3">
        <f t="shared" si="0"/>
        <v>26</v>
      </c>
      <c r="E25" s="2" cm="1">
        <f t="array" ref="E25">1*OR(row_id=Income_header_row, row_id=expenses_header_row, row_id=savings_header_row)</f>
        <v>0</v>
      </c>
      <c r="F25">
        <f t="shared" si="1"/>
        <v>1</v>
      </c>
      <c r="G25" cm="1">
        <f t="array" ref="G25">1*OR(row_id=income_total_row, row_id=expenses_total_row, row_id=savings_total_row)</f>
        <v>0</v>
      </c>
      <c r="H25" s="3">
        <f t="shared" si="2"/>
        <v>0</v>
      </c>
      <c r="I25" s="2" t="str" cm="1">
        <f t="array" ref="I25">IFERROR(INDEX('Budget Planning'!$C:$C,header_row_id),"")</f>
        <v xml:space="preserve"> Expenses</v>
      </c>
      <c r="J25" t="str" cm="1">
        <f t="array" ref="J25">IFERROR(INDEX('Budget Planning'!$C:$C,row_id),"")</f>
        <v>Insurances</v>
      </c>
      <c r="K25" s="44" cm="1">
        <f t="array" aca="1" ref="K25" ca="1">IF(OR(is_header,is_empty),"",IF(is_total,IF(selected_period="Total Year",SUMPRODUCT(Tracking[Amount],--(TRIM(Tracking[Type])=TRIM(type)),--(Tracking[Date]&gt;=DATE(selected_year,1,1)),--(Tracking[Date]&lt;DATE(selected_year+1,1,1))),SUMPRODUCT(Tracking[Amount],--(TRIM(Tracking[Type])=TRIM(type)),--(Tracking[Date]&gt;=DATE(selected_year,1,1)),--(Tracking[Date]&lt;DATE(selected_year+1,1,1)),--(MONTH(Tracking[Date])=selected_period))),IF(selected_period="Total Year",SUMPRODUCT(Tracking[Amount],--(TRIM(Tracking[Type])=TRIM(type)),--(TRIM(Tracking[Categories])=TRIM(item)),--(Tracking[Date]&gt;=DATE(selected_year,1,1)),--(Tracking[Date]&lt;DATE(selected_year+1,1,1))),SUMPRODUCT(Tracking[Amount],--(TRIM(Tracking[Type])=TRIM(type)),--(TRIM(Tracking[Categories])=TRIM(item)),--(Tracking[Date]&gt;=DATE(selected_year,1,1)),--(Tracking[Date]&lt;DATE(selected_year+1,1,1)),--(MONTH(Tracking[Date])=selected_period)))))</f>
        <v>2550</v>
      </c>
      <c r="L25" s="52" cm="1">
        <f t="array" aca="1" ref="L25" ca="1">IF(OR(is_header,is_empty),"",INDEX('Budget Planning'!$E:$FA,row_id,MATCH(IF(selected_period="Total Year",selected_year,DATE(selected_year,selected_period,1)),'Budget Planning'!$E$9:$FA$9,0)))</f>
        <v>12600</v>
      </c>
      <c r="M25" s="2" cm="1">
        <f t="array" ref="M25">IF(is_cat,IF(header_row_id=Income_header_row, MATCH(income_min_row,$C:$C,0),IF(header_row_id=expenses_header_row, MATCH(expenses_min_row,$C:$C,0),IF(header_row_id=savings_header_row, MATCH(savings_min_row,$C:$C,0),""))),"")</f>
        <v>21</v>
      </c>
      <c r="N25" s="3" cm="1">
        <f t="array" ref="N25">IF(is_cat,IF(header_row_id=Income_header_row, MATCH(income_max_row,$C:$C,0),IF(header_row_id=expenses_header_row, MATCH(expenses_max_row,$C:$C,0),IF(header_row_id=savings_header_row, MATCH(savings_max_row,$C:$C,0),""))),"")</f>
        <v>29</v>
      </c>
      <c r="O25" s="2" t="str">
        <f t="shared" si="3"/>
        <v>$K$21:$K$29</v>
      </c>
      <c r="P25">
        <f t="shared" ca="1" si="4"/>
        <v>6</v>
      </c>
      <c r="Q25" t="str">
        <f t="shared" si="5"/>
        <v>$L$21:$L$29</v>
      </c>
      <c r="R25" s="3">
        <f t="shared" ca="1" si="6"/>
        <v>6</v>
      </c>
      <c r="S25" s="2">
        <f t="shared" ca="1" si="7"/>
        <v>66</v>
      </c>
      <c r="T25" t="str">
        <f t="shared" si="8"/>
        <v>$S$21:$S$29</v>
      </c>
      <c r="U25">
        <f t="shared" ca="1" si="9"/>
        <v>6</v>
      </c>
      <c r="V25" t="str">
        <f t="shared" si="10"/>
        <v>$U$21:$U$25</v>
      </c>
      <c r="W25" s="3">
        <f t="shared" ca="1" si="11"/>
        <v>6</v>
      </c>
      <c r="X25" s="54">
        <f t="shared" ca="1" si="12"/>
        <v>32</v>
      </c>
      <c r="Y25" s="55" t="str">
        <f t="shared" ca="1" si="13"/>
        <v>MISC</v>
      </c>
      <c r="Z25" s="58">
        <f t="shared" ca="1" si="14"/>
        <v>3222</v>
      </c>
      <c r="AA25" s="58">
        <f t="shared" ca="1" si="15"/>
        <v>12000</v>
      </c>
      <c r="AB25" s="57">
        <f t="shared" ca="1" si="16"/>
        <v>0.26850000000000002</v>
      </c>
      <c r="AC25" s="58">
        <f t="shared" ca="1" si="17"/>
        <v>8778</v>
      </c>
      <c r="AD25" s="58">
        <f t="shared" ca="1" si="18"/>
        <v>0</v>
      </c>
    </row>
    <row r="26" spans="3:44" x14ac:dyDescent="0.25">
      <c r="C26" s="2" cm="1">
        <f t="array" ref="C26">IF(C25=-1,-1, IF(C25&lt;income_max_row,C25+1,IF(C25=income_max_row,income_total_row,IF(C25=income_total_row,"/1", IF(C25="/1",expenses_header_row,IF(C25&lt;expenses_max_row,C25+1,IF(C25=expenses_max_row,expenses_total_row,IF(C25=expenses_total_row,"/2",IF(C25="/2",savings_header_row,IF(C25&lt;savings_max_row,C25+1,IF(C25=savings_max_row,savings_total_row,-1)))))))))))</f>
        <v>32</v>
      </c>
      <c r="D26" s="3">
        <f t="shared" si="0"/>
        <v>26</v>
      </c>
      <c r="E26" s="2" cm="1">
        <f t="array" ref="E26">1*OR(row_id=Income_header_row, row_id=expenses_header_row, row_id=savings_header_row)</f>
        <v>0</v>
      </c>
      <c r="F26">
        <f t="shared" si="1"/>
        <v>1</v>
      </c>
      <c r="G26" cm="1">
        <f t="array" ref="G26">1*OR(row_id=income_total_row, row_id=expenses_total_row, row_id=savings_total_row)</f>
        <v>0</v>
      </c>
      <c r="H26" s="3">
        <f t="shared" si="2"/>
        <v>0</v>
      </c>
      <c r="I26" s="2" t="str" cm="1">
        <f t="array" ref="I26">IFERROR(INDEX('Budget Planning'!$C:$C,header_row_id),"")</f>
        <v xml:space="preserve"> Expenses</v>
      </c>
      <c r="J26" t="str" cm="1">
        <f t="array" ref="J26">IFERROR(INDEX('Budget Planning'!$C:$C,row_id),"")</f>
        <v>Clothing</v>
      </c>
      <c r="K26" s="44" cm="1">
        <f t="array" aca="1" ref="K26" ca="1">IF(OR(is_header,is_empty),"",IF(is_total,IF(selected_period="Total Year",SUMPRODUCT(Tracking[Amount],--(TRIM(Tracking[Type])=TRIM(type)),--(Tracking[Date]&gt;=DATE(selected_year,1,1)),--(Tracking[Date]&lt;DATE(selected_year+1,1,1))),SUMPRODUCT(Tracking[Amount],--(TRIM(Tracking[Type])=TRIM(type)),--(Tracking[Date]&gt;=DATE(selected_year,1,1)),--(Tracking[Date]&lt;DATE(selected_year+1,1,1)),--(MONTH(Tracking[Date])=selected_period))),IF(selected_period="Total Year",SUMPRODUCT(Tracking[Amount],--(TRIM(Tracking[Type])=TRIM(type)),--(TRIM(Tracking[Categories])=TRIM(item)),--(Tracking[Date]&gt;=DATE(selected_year,1,1)),--(Tracking[Date]&lt;DATE(selected_year+1,1,1))),SUMPRODUCT(Tracking[Amount],--(TRIM(Tracking[Type])=TRIM(type)),--(TRIM(Tracking[Categories])=TRIM(item)),--(Tracking[Date]&gt;=DATE(selected_year,1,1)),--(Tracking[Date]&lt;DATE(selected_year+1,1,1)),--(MONTH(Tracking[Date])=selected_period)))))</f>
        <v>1023</v>
      </c>
      <c r="L26" s="52" cm="1">
        <f t="array" aca="1" ref="L26" ca="1">IF(OR(is_header,is_empty),"",INDEX('Budget Planning'!$E:$FA,row_id,MATCH(IF(selected_period="Total Year",selected_year,DATE(selected_year,selected_period,1)),'Budget Planning'!$E$9:$FA$9,0)))</f>
        <v>16000</v>
      </c>
      <c r="M26" s="2" cm="1">
        <f t="array" ref="M26">IF(is_cat,IF(header_row_id=Income_header_row, MATCH(income_min_row,$C:$C,0),IF(header_row_id=expenses_header_row, MATCH(expenses_min_row,$C:$C,0),IF(header_row_id=savings_header_row, MATCH(savings_min_row,$C:$C,0),""))),"")</f>
        <v>21</v>
      </c>
      <c r="N26" s="3" cm="1">
        <f t="array" ref="N26">IF(is_cat,IF(header_row_id=Income_header_row, MATCH(income_max_row,$C:$C,0),IF(header_row_id=expenses_header_row, MATCH(expenses_max_row,$C:$C,0),IF(header_row_id=savings_header_row, MATCH(savings_max_row,$C:$C,0),""))),"")</f>
        <v>29</v>
      </c>
      <c r="O26" s="2" t="str">
        <f t="shared" si="3"/>
        <v>$K$21:$K$29</v>
      </c>
      <c r="P26">
        <f t="shared" ca="1" si="4"/>
        <v>7</v>
      </c>
      <c r="Q26" t="str">
        <f t="shared" si="5"/>
        <v>$L$21:$L$29</v>
      </c>
      <c r="R26" s="3">
        <f t="shared" ca="1" si="6"/>
        <v>5</v>
      </c>
      <c r="S26" s="2">
        <f t="shared" ca="1" si="7"/>
        <v>75</v>
      </c>
      <c r="T26" t="str">
        <f t="shared" si="8"/>
        <v>$S$21:$S$29</v>
      </c>
      <c r="U26">
        <f t="shared" ca="1" si="9"/>
        <v>7</v>
      </c>
      <c r="V26" t="str">
        <f t="shared" si="10"/>
        <v>$U$21:$U$26</v>
      </c>
      <c r="W26" s="3">
        <f t="shared" ca="1" si="11"/>
        <v>7</v>
      </c>
      <c r="X26" s="54">
        <f t="shared" ca="1" si="12"/>
        <v>33</v>
      </c>
      <c r="Y26" s="55" t="str">
        <f t="shared" ca="1" si="13"/>
        <v>Insurances</v>
      </c>
      <c r="Z26" s="58">
        <f t="shared" ca="1" si="14"/>
        <v>2550</v>
      </c>
      <c r="AA26" s="58">
        <f t="shared" ca="1" si="15"/>
        <v>12600</v>
      </c>
      <c r="AB26" s="57">
        <f t="shared" ca="1" si="16"/>
        <v>0.20238095238095238</v>
      </c>
      <c r="AC26" s="58">
        <f t="shared" ca="1" si="17"/>
        <v>10050</v>
      </c>
      <c r="AD26" s="58">
        <f t="shared" ca="1" si="18"/>
        <v>0</v>
      </c>
      <c r="AF26" s="59"/>
      <c r="AG26" s="60"/>
      <c r="AH26" s="60"/>
      <c r="AI26" s="60"/>
      <c r="AJ26" s="60"/>
      <c r="AK26" s="61"/>
      <c r="AM26" s="59"/>
      <c r="AN26" s="60"/>
      <c r="AO26" s="60"/>
      <c r="AP26" s="60"/>
      <c r="AQ26" s="60"/>
      <c r="AR26" s="61"/>
    </row>
    <row r="27" spans="3:44" x14ac:dyDescent="0.25">
      <c r="C27" s="2" cm="1">
        <f t="array" ref="C27">IF(C26=-1,-1, IF(C26&lt;income_max_row,C26+1,IF(C26=income_max_row,income_total_row,IF(C26=income_total_row,"/1", IF(C26="/1",expenses_header_row,IF(C26&lt;expenses_max_row,C26+1,IF(C26=expenses_max_row,expenses_total_row,IF(C26=expenses_total_row,"/2",IF(C26="/2",savings_header_row,IF(C26&lt;savings_max_row,C26+1,IF(C26=savings_max_row,savings_total_row,-1)))))))))))</f>
        <v>33</v>
      </c>
      <c r="D27" s="3">
        <f t="shared" si="0"/>
        <v>26</v>
      </c>
      <c r="E27" s="2" cm="1">
        <f t="array" ref="E27">1*OR(row_id=Income_header_row, row_id=expenses_header_row, row_id=savings_header_row)</f>
        <v>0</v>
      </c>
      <c r="F27">
        <f t="shared" si="1"/>
        <v>1</v>
      </c>
      <c r="G27" cm="1">
        <f t="array" ref="G27">1*OR(row_id=income_total_row, row_id=expenses_total_row, row_id=savings_total_row)</f>
        <v>0</v>
      </c>
      <c r="H27" s="3">
        <f t="shared" si="2"/>
        <v>0</v>
      </c>
      <c r="I27" s="2" t="str" cm="1">
        <f t="array" ref="I27">IFERROR(INDEX('Budget Planning'!$C:$C,header_row_id),"")</f>
        <v xml:space="preserve"> Expenses</v>
      </c>
      <c r="J27" t="str" cm="1">
        <f t="array" ref="J27">IFERROR(INDEX('Budget Planning'!$C:$C,row_id),"")</f>
        <v>Wellness&amp;Medicine</v>
      </c>
      <c r="K27" s="44" cm="1">
        <f t="array" aca="1" ref="K27" ca="1">IF(OR(is_header,is_empty),"",IF(is_total,IF(selected_period="Total Year",SUMPRODUCT(Tracking[Amount],--(TRIM(Tracking[Type])=TRIM(type)),--(Tracking[Date]&gt;=DATE(selected_year,1,1)),--(Tracking[Date]&lt;DATE(selected_year+1,1,1))),SUMPRODUCT(Tracking[Amount],--(TRIM(Tracking[Type])=TRIM(type)),--(Tracking[Date]&gt;=DATE(selected_year,1,1)),--(Tracking[Date]&lt;DATE(selected_year+1,1,1)),--(MONTH(Tracking[Date])=selected_period))),IF(selected_period="Total Year",SUMPRODUCT(Tracking[Amount],--(TRIM(Tracking[Type])=TRIM(type)),--(TRIM(Tracking[Categories])=TRIM(item)),--(Tracking[Date]&gt;=DATE(selected_year,1,1)),--(Tracking[Date]&lt;DATE(selected_year+1,1,1))),SUMPRODUCT(Tracking[Amount],--(TRIM(Tracking[Type])=TRIM(type)),--(TRIM(Tracking[Categories])=TRIM(item)),--(Tracking[Date]&gt;=DATE(selected_year,1,1)),--(Tracking[Date]&lt;DATE(selected_year+1,1,1)),--(MONTH(Tracking[Date])=selected_period)))))</f>
        <v>0</v>
      </c>
      <c r="L27" s="52" cm="1">
        <f t="array" aca="1" ref="L27" ca="1">IF(OR(is_header,is_empty),"",INDEX('Budget Planning'!$E:$FA,row_id,MATCH(IF(selected_period="Total Year",selected_year,DATE(selected_year,selected_period,1)),'Budget Planning'!$E$9:$FA$9,0)))</f>
        <v>6000</v>
      </c>
      <c r="M27" s="2" cm="1">
        <f t="array" ref="M27">IF(is_cat,IF(header_row_id=Income_header_row, MATCH(income_min_row,$C:$C,0),IF(header_row_id=expenses_header_row, MATCH(expenses_min_row,$C:$C,0),IF(header_row_id=savings_header_row, MATCH(savings_min_row,$C:$C,0),""))),"")</f>
        <v>21</v>
      </c>
      <c r="N27" s="3" cm="1">
        <f t="array" ref="N27">IF(is_cat,IF(header_row_id=Income_header_row, MATCH(income_max_row,$C:$C,0),IF(header_row_id=expenses_header_row, MATCH(expenses_max_row,$C:$C,0),IF(header_row_id=savings_header_row, MATCH(savings_max_row,$C:$C,0),""))),"")</f>
        <v>29</v>
      </c>
      <c r="O27" s="2" t="str">
        <f t="shared" si="3"/>
        <v>$K$21:$K$29</v>
      </c>
      <c r="P27">
        <f t="shared" ca="1" si="4"/>
        <v>8</v>
      </c>
      <c r="Q27" t="str">
        <f t="shared" si="5"/>
        <v>$L$21:$L$29</v>
      </c>
      <c r="R27" s="3">
        <f t="shared" ca="1" si="6"/>
        <v>8</v>
      </c>
      <c r="S27" s="2">
        <f t="shared" ca="1" si="7"/>
        <v>88</v>
      </c>
      <c r="T27" t="str">
        <f t="shared" si="8"/>
        <v>$S$21:$S$29</v>
      </c>
      <c r="U27">
        <f t="shared" ca="1" si="9"/>
        <v>8</v>
      </c>
      <c r="V27" t="str">
        <f t="shared" si="10"/>
        <v>$U$21:$U$27</v>
      </c>
      <c r="W27" s="3">
        <f t="shared" ca="1" si="11"/>
        <v>8</v>
      </c>
      <c r="X27" s="54">
        <f t="shared" ca="1" si="12"/>
        <v>34</v>
      </c>
      <c r="Y27" s="55" t="str">
        <f t="shared" ca="1" si="13"/>
        <v>Clothing</v>
      </c>
      <c r="Z27" s="58">
        <f t="shared" ca="1" si="14"/>
        <v>1023</v>
      </c>
      <c r="AA27" s="58">
        <f t="shared" ca="1" si="15"/>
        <v>16000</v>
      </c>
      <c r="AB27" s="57">
        <f t="shared" ca="1" si="16"/>
        <v>6.3937499999999994E-2</v>
      </c>
      <c r="AC27" s="58">
        <f t="shared" ca="1" si="17"/>
        <v>14977</v>
      </c>
      <c r="AD27" s="58">
        <f t="shared" ca="1" si="18"/>
        <v>0</v>
      </c>
      <c r="AF27" s="2"/>
      <c r="AK27" s="3"/>
      <c r="AM27" s="2"/>
      <c r="AR27" s="3"/>
    </row>
    <row r="28" spans="3:44" x14ac:dyDescent="0.25">
      <c r="C28" s="2" cm="1">
        <f t="array" ref="C28">IF(C27=-1,-1, IF(C27&lt;income_max_row,C27+1,IF(C27=income_max_row,income_total_row,IF(C27=income_total_row,"/1", IF(C27="/1",expenses_header_row,IF(C27&lt;expenses_max_row,C27+1,IF(C27=expenses_max_row,expenses_total_row,IF(C27=expenses_total_row,"/2",IF(C27="/2",savings_header_row,IF(C27&lt;savings_max_row,C27+1,IF(C27=savings_max_row,savings_total_row,-1)))))))))))</f>
        <v>34</v>
      </c>
      <c r="D28" s="3">
        <f t="shared" si="0"/>
        <v>26</v>
      </c>
      <c r="E28" s="2" cm="1">
        <f t="array" ref="E28">1*OR(row_id=Income_header_row, row_id=expenses_header_row, row_id=savings_header_row)</f>
        <v>0</v>
      </c>
      <c r="F28">
        <f t="shared" si="1"/>
        <v>1</v>
      </c>
      <c r="G28" cm="1">
        <f t="array" ref="G28">1*OR(row_id=income_total_row, row_id=expenses_total_row, row_id=savings_total_row)</f>
        <v>0</v>
      </c>
      <c r="H28" s="3">
        <f t="shared" si="2"/>
        <v>0</v>
      </c>
      <c r="I28" s="2" t="str" cm="1">
        <f t="array" ref="I28">IFERROR(INDEX('Budget Planning'!$C:$C,header_row_id),"")</f>
        <v xml:space="preserve"> Expenses</v>
      </c>
      <c r="J28" t="str" cm="1">
        <f t="array" ref="J28">IFERROR(INDEX('Budget Planning'!$C:$C,row_id),"")</f>
        <v>Media</v>
      </c>
      <c r="K28" s="44" cm="1">
        <f t="array" aca="1" ref="K28" ca="1">IF(OR(is_header,is_empty),"",IF(is_total,IF(selected_period="Total Year",SUMPRODUCT(Tracking[Amount],--(TRIM(Tracking[Type])=TRIM(type)),--(Tracking[Date]&gt;=DATE(selected_year,1,1)),--(Tracking[Date]&lt;DATE(selected_year+1,1,1))),SUMPRODUCT(Tracking[Amount],--(TRIM(Tracking[Type])=TRIM(type)),--(Tracking[Date]&gt;=DATE(selected_year,1,1)),--(Tracking[Date]&lt;DATE(selected_year+1,1,1)),--(MONTH(Tracking[Date])=selected_period))),IF(selected_period="Total Year",SUMPRODUCT(Tracking[Amount],--(TRIM(Tracking[Type])=TRIM(type)),--(TRIM(Tracking[Categories])=TRIM(item)),--(Tracking[Date]&gt;=DATE(selected_year,1,1)),--(Tracking[Date]&lt;DATE(selected_year+1,1,1))),SUMPRODUCT(Tracking[Amount],--(TRIM(Tracking[Type])=TRIM(type)),--(TRIM(Tracking[Categories])=TRIM(item)),--(Tracking[Date]&gt;=DATE(selected_year,1,1)),--(Tracking[Date]&lt;DATE(selected_year+1,1,1)),--(MONTH(Tracking[Date])=selected_period)))))</f>
        <v>0</v>
      </c>
      <c r="L28" s="52" cm="1">
        <f t="array" aca="1" ref="L28" ca="1">IF(OR(is_header,is_empty),"",INDEX('Budget Planning'!$E:$FA,row_id,MATCH(IF(selected_period="Total Year",selected_year,DATE(selected_year,selected_period,1)),'Budget Planning'!$E$9:$FA$9,0)))</f>
        <v>3600</v>
      </c>
      <c r="M28" s="2" cm="1">
        <f t="array" ref="M28">IF(is_cat,IF(header_row_id=Income_header_row, MATCH(income_min_row,$C:$C,0),IF(header_row_id=expenses_header_row, MATCH(expenses_min_row,$C:$C,0),IF(header_row_id=savings_header_row, MATCH(savings_min_row,$C:$C,0),""))),"")</f>
        <v>21</v>
      </c>
      <c r="N28" s="3" cm="1">
        <f t="array" ref="N28">IF(is_cat,IF(header_row_id=Income_header_row, MATCH(income_max_row,$C:$C,0),IF(header_row_id=expenses_header_row, MATCH(expenses_max_row,$C:$C,0),IF(header_row_id=savings_header_row, MATCH(savings_max_row,$C:$C,0),""))),"")</f>
        <v>29</v>
      </c>
      <c r="O28" s="2" t="str">
        <f t="shared" si="3"/>
        <v>$K$21:$K$29</v>
      </c>
      <c r="P28">
        <f t="shared" ca="1" si="4"/>
        <v>8</v>
      </c>
      <c r="Q28" t="str">
        <f t="shared" si="5"/>
        <v>$L$21:$L$29</v>
      </c>
      <c r="R28" s="3">
        <f t="shared" ca="1" si="6"/>
        <v>9</v>
      </c>
      <c r="S28" s="2">
        <f t="shared" ca="1" si="7"/>
        <v>89</v>
      </c>
      <c r="T28" t="str">
        <f t="shared" si="8"/>
        <v>$S$21:$S$29</v>
      </c>
      <c r="U28">
        <f t="shared" ca="1" si="9"/>
        <v>9</v>
      </c>
      <c r="V28" t="str">
        <f t="shared" si="10"/>
        <v>$U$21:$U$28</v>
      </c>
      <c r="W28" s="3">
        <f t="shared" ca="1" si="11"/>
        <v>9</v>
      </c>
      <c r="X28" s="54">
        <f t="shared" ca="1" si="12"/>
        <v>35</v>
      </c>
      <c r="Y28" s="55" t="str">
        <f t="shared" ca="1" si="13"/>
        <v>Wellness&amp;Medicine</v>
      </c>
      <c r="Z28" s="58">
        <f t="shared" ca="1" si="14"/>
        <v>0</v>
      </c>
      <c r="AA28" s="58">
        <f t="shared" ca="1" si="15"/>
        <v>6000</v>
      </c>
      <c r="AB28" s="57">
        <f t="shared" ca="1" si="16"/>
        <v>0</v>
      </c>
      <c r="AC28" s="58">
        <f t="shared" ca="1" si="17"/>
        <v>6000</v>
      </c>
      <c r="AD28" s="58">
        <f t="shared" ca="1" si="18"/>
        <v>0</v>
      </c>
      <c r="AF28" s="2"/>
      <c r="AK28" s="3"/>
      <c r="AM28" s="2"/>
      <c r="AR28" s="3"/>
    </row>
    <row r="29" spans="3:44" x14ac:dyDescent="0.25">
      <c r="C29" s="2" cm="1">
        <f t="array" ref="C29">IF(C28=-1,-1, IF(C28&lt;income_max_row,C28+1,IF(C28=income_max_row,income_total_row,IF(C28=income_total_row,"/1", IF(C28="/1",expenses_header_row,IF(C28&lt;expenses_max_row,C28+1,IF(C28=expenses_max_row,expenses_total_row,IF(C28=expenses_total_row,"/2",IF(C28="/2",savings_header_row,IF(C28&lt;savings_max_row,C28+1,IF(C28=savings_max_row,savings_total_row,-1)))))))))))</f>
        <v>35</v>
      </c>
      <c r="D29" s="3">
        <f t="shared" si="0"/>
        <v>26</v>
      </c>
      <c r="E29" s="2" cm="1">
        <f t="array" ref="E29">1*OR(row_id=Income_header_row, row_id=expenses_header_row, row_id=savings_header_row)</f>
        <v>0</v>
      </c>
      <c r="F29">
        <f t="shared" si="1"/>
        <v>1</v>
      </c>
      <c r="G29" cm="1">
        <f t="array" ref="G29">1*OR(row_id=income_total_row, row_id=expenses_total_row, row_id=savings_total_row)</f>
        <v>0</v>
      </c>
      <c r="H29" s="3">
        <f t="shared" si="2"/>
        <v>0</v>
      </c>
      <c r="I29" s="2" t="str" cm="1">
        <f t="array" ref="I29">IFERROR(INDEX('Budget Planning'!$C:$C,header_row_id),"")</f>
        <v xml:space="preserve"> Expenses</v>
      </c>
      <c r="J29" t="str" cm="1">
        <f t="array" ref="J29">IFERROR(INDEX('Budget Planning'!$C:$C,row_id),"")</f>
        <v>Fun &amp; Vacation</v>
      </c>
      <c r="K29" s="44" cm="1">
        <f t="array" aca="1" ref="K29" ca="1">IF(OR(is_header,is_empty),"",IF(is_total,IF(selected_period="Total Year",SUMPRODUCT(Tracking[Amount],--(TRIM(Tracking[Type])=TRIM(type)),--(Tracking[Date]&gt;=DATE(selected_year,1,1)),--(Tracking[Date]&lt;DATE(selected_year+1,1,1))),SUMPRODUCT(Tracking[Amount],--(TRIM(Tracking[Type])=TRIM(type)),--(Tracking[Date]&gt;=DATE(selected_year,1,1)),--(Tracking[Date]&lt;DATE(selected_year+1,1,1)),--(MONTH(Tracking[Date])=selected_period))),IF(selected_period="Total Year",SUMPRODUCT(Tracking[Amount],--(TRIM(Tracking[Type])=TRIM(type)),--(TRIM(Tracking[Categories])=TRIM(item)),--(Tracking[Date]&gt;=DATE(selected_year,1,1)),--(Tracking[Date]&lt;DATE(selected_year+1,1,1))),SUMPRODUCT(Tracking[Amount],--(TRIM(Tracking[Type])=TRIM(type)),--(TRIM(Tracking[Categories])=TRIM(item)),--(Tracking[Date]&gt;=DATE(selected_year,1,1)),--(Tracking[Date]&lt;DATE(selected_year+1,1,1)),--(MONTH(Tracking[Date])=selected_period)))))</f>
        <v>6430</v>
      </c>
      <c r="L29" s="52" cm="1">
        <f t="array" aca="1" ref="L29" ca="1">IF(OR(is_header,is_empty),"",INDEX('Budget Planning'!$E:$FA,row_id,MATCH(IF(selected_period="Total Year",selected_year,DATE(selected_year,selected_period,1)),'Budget Planning'!$E$9:$FA$9,0)))</f>
        <v>34300</v>
      </c>
      <c r="M29" s="2" cm="1">
        <f t="array" ref="M29">IF(is_cat,IF(header_row_id=Income_header_row, MATCH(income_min_row,$C:$C,0),IF(header_row_id=expenses_header_row, MATCH(expenses_min_row,$C:$C,0),IF(header_row_id=savings_header_row, MATCH(savings_min_row,$C:$C,0),""))),"")</f>
        <v>21</v>
      </c>
      <c r="N29" s="3" cm="1">
        <f t="array" ref="N29">IF(is_cat,IF(header_row_id=Income_header_row, MATCH(income_max_row,$C:$C,0),IF(header_row_id=expenses_header_row, MATCH(expenses_max_row,$C:$C,0),IF(header_row_id=savings_header_row, MATCH(savings_max_row,$C:$C,0),""))),"")</f>
        <v>29</v>
      </c>
      <c r="O29" s="2" t="str">
        <f t="shared" si="3"/>
        <v>$K$21:$K$29</v>
      </c>
      <c r="P29">
        <f t="shared" ca="1" si="4"/>
        <v>4</v>
      </c>
      <c r="Q29" t="str">
        <f t="shared" si="5"/>
        <v>$L$21:$L$29</v>
      </c>
      <c r="R29" s="3">
        <f t="shared" ca="1" si="6"/>
        <v>4</v>
      </c>
      <c r="S29" s="2">
        <f t="shared" ca="1" si="7"/>
        <v>44</v>
      </c>
      <c r="T29" t="str">
        <f t="shared" si="8"/>
        <v>$S$21:$S$29</v>
      </c>
      <c r="U29">
        <f t="shared" ca="1" si="9"/>
        <v>4</v>
      </c>
      <c r="V29" t="str">
        <f t="shared" si="10"/>
        <v>$U$21:$U$29</v>
      </c>
      <c r="W29" s="3">
        <f t="shared" ca="1" si="11"/>
        <v>4</v>
      </c>
      <c r="X29" s="54">
        <f t="shared" ca="1" si="12"/>
        <v>30</v>
      </c>
      <c r="Y29" s="55" t="str">
        <f t="shared" ca="1" si="13"/>
        <v>Media</v>
      </c>
      <c r="Z29" s="58">
        <f t="shared" ca="1" si="14"/>
        <v>0</v>
      </c>
      <c r="AA29" s="58">
        <f t="shared" ca="1" si="15"/>
        <v>3600</v>
      </c>
      <c r="AB29" s="57">
        <f t="shared" ca="1" si="16"/>
        <v>0</v>
      </c>
      <c r="AC29" s="58">
        <f t="shared" ca="1" si="17"/>
        <v>3600</v>
      </c>
      <c r="AD29" s="58">
        <f t="shared" ca="1" si="18"/>
        <v>0</v>
      </c>
      <c r="AF29" s="2"/>
      <c r="AK29" s="3"/>
      <c r="AM29" s="2"/>
      <c r="AR29" s="3"/>
    </row>
    <row r="30" spans="3:44" x14ac:dyDescent="0.25">
      <c r="C30" s="2" cm="1">
        <f t="array" ref="C30">IF(C29=-1,-1, IF(C29&lt;income_max_row,C29+1,IF(C29=income_max_row,income_total_row,IF(C29=income_total_row,"/1", IF(C29="/1",expenses_header_row,IF(C29&lt;expenses_max_row,C29+1,IF(C29=expenses_max_row,expenses_total_row,IF(C29=expenses_total_row,"/2",IF(C29="/2",savings_header_row,IF(C29&lt;savings_max_row,C29+1,IF(C29=savings_max_row,savings_total_row,-1)))))))))))</f>
        <v>41</v>
      </c>
      <c r="D30" s="3">
        <f t="shared" si="0"/>
        <v>26</v>
      </c>
      <c r="E30" s="2" cm="1">
        <f t="array" ref="E30">1*OR(row_id=Income_header_row, row_id=expenses_header_row, row_id=savings_header_row)</f>
        <v>0</v>
      </c>
      <c r="F30">
        <f t="shared" si="1"/>
        <v>0</v>
      </c>
      <c r="G30" cm="1">
        <f t="array" ref="G30">1*OR(row_id=income_total_row, row_id=expenses_total_row, row_id=savings_total_row)</f>
        <v>1</v>
      </c>
      <c r="H30" s="3">
        <f t="shared" si="2"/>
        <v>0</v>
      </c>
      <c r="I30" s="2" t="str" cm="1">
        <f t="array" ref="I30">IFERROR(INDEX('Budget Planning'!$C:$C,header_row_id),"")</f>
        <v xml:space="preserve"> Expenses</v>
      </c>
      <c r="J30" t="str" cm="1">
        <f t="array" ref="J30">IFERROR(INDEX('Budget Planning'!$C:$C,row_id),"")</f>
        <v>Total</v>
      </c>
      <c r="K30" s="44" cm="1">
        <f t="array" aca="1" ref="K30" ca="1">IF(OR(is_header,is_empty),"",IF(is_total,IF(selected_period="Total Year",SUMPRODUCT(Tracking[Amount],--(TRIM(Tracking[Type])=TRIM(type)),--(Tracking[Date]&gt;=DATE(selected_year,1,1)),--(Tracking[Date]&lt;DATE(selected_year+1,1,1))),SUMPRODUCT(Tracking[Amount],--(TRIM(Tracking[Type])=TRIM(type)),--(Tracking[Date]&gt;=DATE(selected_year,1,1)),--(Tracking[Date]&lt;DATE(selected_year+1,1,1)),--(MONTH(Tracking[Date])=selected_period))),IF(selected_period="Total Year",SUMPRODUCT(Tracking[Amount],--(TRIM(Tracking[Type])=TRIM(type)),--(TRIM(Tracking[Categories])=TRIM(item)),--(Tracking[Date]&gt;=DATE(selected_year,1,1)),--(Tracking[Date]&lt;DATE(selected_year+1,1,1))),SUMPRODUCT(Tracking[Amount],--(TRIM(Tracking[Type])=TRIM(type)),--(TRIM(Tracking[Categories])=TRIM(item)),--(Tracking[Date]&gt;=DATE(selected_year,1,1)),--(Tracking[Date]&lt;DATE(selected_year+1,1,1)),--(MONTH(Tracking[Date])=selected_period)))))</f>
        <v>91555</v>
      </c>
      <c r="L30" s="52" cm="1">
        <f t="array" aca="1" ref="L30" ca="1">IF(OR(is_header,is_empty),"",INDEX('Budget Planning'!$E:$FA,row_id,MATCH(IF(selected_period="Total Year",selected_year,DATE(selected_year,selected_period,1)),'Budget Planning'!$E$9:$FA$9,0)))</f>
        <v>530816</v>
      </c>
      <c r="M30" s="2" t="str" cm="1">
        <f t="array" ref="M30">IF(is_cat,IF(header_row_id=Income_header_row, MATCH(income_min_row,$C:$C,0),IF(header_row_id=expenses_header_row, MATCH(expenses_min_row,$C:$C,0),IF(header_row_id=savings_header_row, MATCH(savings_min_row,$C:$C,0),""))),"")</f>
        <v/>
      </c>
      <c r="N30" s="3" t="str" cm="1">
        <f t="array" ref="N30">IF(is_cat,IF(header_row_id=Income_header_row, MATCH(income_max_row,$C:$C,0),IF(header_row_id=expenses_header_row, MATCH(expenses_max_row,$C:$C,0),IF(header_row_id=savings_header_row, MATCH(savings_max_row,$C:$C,0),""))),"")</f>
        <v/>
      </c>
      <c r="O30" s="2" t="str">
        <f t="shared" si="3"/>
        <v/>
      </c>
      <c r="P30" t="str">
        <f t="shared" ca="1" si="4"/>
        <v/>
      </c>
      <c r="Q30" t="str">
        <f t="shared" si="5"/>
        <v/>
      </c>
      <c r="R30" s="3" t="str">
        <f t="shared" ca="1" si="6"/>
        <v/>
      </c>
      <c r="S30" s="2" t="str">
        <f t="shared" si="7"/>
        <v/>
      </c>
      <c r="T30" t="str">
        <f t="shared" si="8"/>
        <v/>
      </c>
      <c r="U30" t="str">
        <f t="shared" ca="1" si="9"/>
        <v/>
      </c>
      <c r="V30" t="str">
        <f t="shared" si="10"/>
        <v/>
      </c>
      <c r="W30" s="3" t="str">
        <f t="shared" ca="1" si="11"/>
        <v/>
      </c>
      <c r="X30" s="54">
        <f t="shared" si="12"/>
        <v>41</v>
      </c>
      <c r="Y30" s="55" t="str">
        <f t="shared" ca="1" si="13"/>
        <v>Total</v>
      </c>
      <c r="Z30" s="58">
        <f t="shared" ca="1" si="14"/>
        <v>91555</v>
      </c>
      <c r="AA30" s="58">
        <f ca="1">IF(is_empty,"",IF(is_header,"Budget",INDEX($L:$L,MATCH(row_id,$X:$X,0))))</f>
        <v>530816</v>
      </c>
      <c r="AB30" s="57">
        <f t="shared" ca="1" si="16"/>
        <v>0.17247972932240174</v>
      </c>
      <c r="AC30" s="58">
        <f t="shared" ca="1" si="17"/>
        <v>439261</v>
      </c>
      <c r="AD30" s="58">
        <f t="shared" ca="1" si="18"/>
        <v>0</v>
      </c>
      <c r="AF30" s="2"/>
      <c r="AI30" s="69" t="str">
        <f ca="1">Calculations!I35</f>
        <v>Groceries</v>
      </c>
      <c r="AJ30" s="70">
        <f ca="1">Calculations!J35</f>
        <v>45830</v>
      </c>
      <c r="AK30" s="3"/>
      <c r="AM30" s="2"/>
      <c r="AP30" s="69" t="str">
        <f ca="1">Calculations!M35</f>
        <v>Emergency Fund</v>
      </c>
      <c r="AQ30" s="70">
        <f ca="1">Calculations!N35</f>
        <v>50000</v>
      </c>
      <c r="AR30" s="3"/>
    </row>
    <row r="31" spans="3:44" x14ac:dyDescent="0.25">
      <c r="C31" s="2" t="str" cm="1">
        <f t="array" ref="C31">IF(C30=-1,-1, IF(C30&lt;income_max_row,C30+1,IF(C30=income_max_row,income_total_row,IF(C30=income_total_row,"/1", IF(C30="/1",expenses_header_row,IF(C30&lt;expenses_max_row,C30+1,IF(C30=expenses_max_row,expenses_total_row,IF(C30=expenses_total_row,"/2",IF(C30="/2",savings_header_row,IF(C30&lt;savings_max_row,C30+1,IF(C30=savings_max_row,savings_total_row,-1)))))))))))</f>
        <v>/2</v>
      </c>
      <c r="D31" s="3">
        <f t="shared" si="0"/>
        <v>-1</v>
      </c>
      <c r="E31" s="2" cm="1">
        <f t="array" ref="E31">1*OR(row_id=Income_header_row, row_id=expenses_header_row, row_id=savings_header_row)</f>
        <v>0</v>
      </c>
      <c r="F31">
        <f t="shared" si="1"/>
        <v>0</v>
      </c>
      <c r="G31" cm="1">
        <f t="array" ref="G31">1*OR(row_id=income_total_row, row_id=expenses_total_row, row_id=savings_total_row)</f>
        <v>0</v>
      </c>
      <c r="H31" s="3">
        <f t="shared" si="2"/>
        <v>1</v>
      </c>
      <c r="I31" s="2" t="str" cm="1">
        <f t="array" ref="I31">IFERROR(INDEX('Budget Planning'!$C:$C,header_row_id),"")</f>
        <v/>
      </c>
      <c r="J31" t="str" cm="1">
        <f t="array" ref="J31">IFERROR(INDEX('Budget Planning'!$C:$C,row_id),"")</f>
        <v/>
      </c>
      <c r="K31" s="44" t="str" cm="1">
        <f t="array" ref="K31">IF(OR(is_header,is_empty),"",IF(is_total,IF(selected_period="Total Year",SUMPRODUCT(Tracking[Amount],--(TRIM(Tracking[Type])=TRIM(type)),--(Tracking[Date]&gt;=DATE(selected_year,1,1)),--(Tracking[Date]&lt;DATE(selected_year+1,1,1))),SUMPRODUCT(Tracking[Amount],--(TRIM(Tracking[Type])=TRIM(type)),--(Tracking[Date]&gt;=DATE(selected_year,1,1)),--(Tracking[Date]&lt;DATE(selected_year+1,1,1)),--(MONTH(Tracking[Date])=selected_period))),IF(selected_period="Total Year",SUMPRODUCT(Tracking[Amount],--(TRIM(Tracking[Type])=TRIM(type)),--(TRIM(Tracking[Categories])=TRIM(item)),--(Tracking[Date]&gt;=DATE(selected_year,1,1)),--(Tracking[Date]&lt;DATE(selected_year+1,1,1))),SUMPRODUCT(Tracking[Amount],--(TRIM(Tracking[Type])=TRIM(type)),--(TRIM(Tracking[Categories])=TRIM(item)),--(Tracking[Date]&gt;=DATE(selected_year,1,1)),--(Tracking[Date]&lt;DATE(selected_year+1,1,1)),--(MONTH(Tracking[Date])=selected_period)))))</f>
        <v/>
      </c>
      <c r="L31" s="52" t="str" cm="1">
        <f t="array" ref="L31">IF(OR(is_header,is_empty),"",INDEX('Budget Planning'!$E:$FA,row_id,MATCH(IF(selected_period="Total Year",selected_year,DATE(selected_year,selected_period,1)),'Budget Planning'!$E$9:$FA$9,0)))</f>
        <v/>
      </c>
      <c r="M31" s="2" t="str" cm="1">
        <f t="array" ref="M31">IF(is_cat,IF(header_row_id=Income_header_row, MATCH(income_min_row,$C:$C,0),IF(header_row_id=expenses_header_row, MATCH(expenses_min_row,$C:$C,0),IF(header_row_id=savings_header_row, MATCH(savings_min_row,$C:$C,0),""))),"")</f>
        <v/>
      </c>
      <c r="N31" s="3" t="str" cm="1">
        <f t="array" ref="N31">IF(is_cat,IF(header_row_id=Income_header_row, MATCH(income_max_row,$C:$C,0),IF(header_row_id=expenses_header_row, MATCH(expenses_max_row,$C:$C,0),IF(header_row_id=savings_header_row, MATCH(savings_max_row,$C:$C,0),""))),"")</f>
        <v/>
      </c>
      <c r="O31" s="2" t="str">
        <f t="shared" si="3"/>
        <v/>
      </c>
      <c r="P31" t="str">
        <f t="shared" ca="1" si="4"/>
        <v/>
      </c>
      <c r="Q31" t="str">
        <f t="shared" si="5"/>
        <v/>
      </c>
      <c r="R31" s="3" t="str">
        <f t="shared" ca="1" si="6"/>
        <v/>
      </c>
      <c r="S31" s="2" t="str">
        <f t="shared" si="7"/>
        <v/>
      </c>
      <c r="T31" t="str">
        <f t="shared" si="8"/>
        <v/>
      </c>
      <c r="U31" t="str">
        <f t="shared" ca="1" si="9"/>
        <v/>
      </c>
      <c r="V31" t="str">
        <f t="shared" si="10"/>
        <v/>
      </c>
      <c r="W31" s="3" t="str">
        <f t="shared" ca="1" si="11"/>
        <v/>
      </c>
      <c r="X31" s="54" t="str">
        <f t="shared" si="12"/>
        <v>/2</v>
      </c>
      <c r="Y31" s="55" t="str">
        <f t="shared" si="13"/>
        <v/>
      </c>
      <c r="Z31" s="58" t="str">
        <f t="shared" si="14"/>
        <v/>
      </c>
      <c r="AA31" s="58" t="str">
        <f t="shared" si="15"/>
        <v/>
      </c>
      <c r="AB31" s="57" t="str">
        <f t="shared" si="16"/>
        <v/>
      </c>
      <c r="AC31" s="58" t="str">
        <f t="shared" si="17"/>
        <v/>
      </c>
      <c r="AD31" s="58" t="str">
        <f t="shared" si="18"/>
        <v/>
      </c>
      <c r="AF31" s="2"/>
      <c r="AI31" s="69" t="str">
        <f ca="1">Calculations!I36</f>
        <v>Rent</v>
      </c>
      <c r="AJ31" s="70">
        <f ca="1">Calculations!J36</f>
        <v>25000</v>
      </c>
      <c r="AK31" s="3"/>
      <c r="AM31" s="2"/>
      <c r="AP31" s="69" t="str">
        <f ca="1">Calculations!M36</f>
        <v>Mcleodganj Trip Fund</v>
      </c>
      <c r="AQ31" s="70">
        <f ca="1">Calculations!N36</f>
        <v>35000</v>
      </c>
      <c r="AR31" s="3"/>
    </row>
    <row r="32" spans="3:44" x14ac:dyDescent="0.25">
      <c r="C32" s="2" cm="1">
        <f t="array" ref="C32">IF(C31=-1,-1, IF(C31&lt;income_max_row,C31+1,IF(C31=income_max_row,income_total_row,IF(C31=income_total_row,"/1", IF(C31="/1",expenses_header_row,IF(C31&lt;expenses_max_row,C31+1,IF(C31=expenses_max_row,expenses_total_row,IF(C31=expenses_total_row,"/2",IF(C31="/2",savings_header_row,IF(C31&lt;savings_max_row,C31+1,IF(C31=savings_max_row,savings_total_row,-1)))))))))))</f>
        <v>43</v>
      </c>
      <c r="D32" s="3">
        <f t="shared" si="0"/>
        <v>43</v>
      </c>
      <c r="E32" s="2" cm="1">
        <f t="array" ref="E32">1*OR(row_id=Income_header_row, row_id=expenses_header_row, row_id=savings_header_row)</f>
        <v>1</v>
      </c>
      <c r="F32">
        <f t="shared" si="1"/>
        <v>0</v>
      </c>
      <c r="G32" cm="1">
        <f t="array" ref="G32">1*OR(row_id=income_total_row, row_id=expenses_total_row, row_id=savings_total_row)</f>
        <v>0</v>
      </c>
      <c r="H32" s="3">
        <f t="shared" si="2"/>
        <v>0</v>
      </c>
      <c r="I32" s="2" t="str" cm="1">
        <f t="array" ref="I32">IFERROR(INDEX('Budget Planning'!$C:$C,header_row_id),"")</f>
        <v xml:space="preserve"> Savings</v>
      </c>
      <c r="J32" t="str" cm="1">
        <f t="array" ref="J32">IFERROR(INDEX('Budget Planning'!$C:$C,row_id),"")</f>
        <v xml:space="preserve"> Savings</v>
      </c>
      <c r="K32" s="44" t="str" cm="1">
        <f t="array" ref="K32">IF(OR(is_header,is_empty),"",IF(is_total,IF(selected_period="Total Year",SUMPRODUCT(Tracking[Amount],--(TRIM(Tracking[Type])=TRIM(type)),--(Tracking[Date]&gt;=DATE(selected_year,1,1)),--(Tracking[Date]&lt;DATE(selected_year+1,1,1))),SUMPRODUCT(Tracking[Amount],--(TRIM(Tracking[Type])=TRIM(type)),--(Tracking[Date]&gt;=DATE(selected_year,1,1)),--(Tracking[Date]&lt;DATE(selected_year+1,1,1)),--(MONTH(Tracking[Date])=selected_period))),IF(selected_period="Total Year",SUMPRODUCT(Tracking[Amount],--(TRIM(Tracking[Type])=TRIM(type)),--(TRIM(Tracking[Categories])=TRIM(item)),--(Tracking[Date]&gt;=DATE(selected_year,1,1)),--(Tracking[Date]&lt;DATE(selected_year+1,1,1))),SUMPRODUCT(Tracking[Amount],--(TRIM(Tracking[Type])=TRIM(type)),--(TRIM(Tracking[Categories])=TRIM(item)),--(Tracking[Date]&gt;=DATE(selected_year,1,1)),--(Tracking[Date]&lt;DATE(selected_year+1,1,1)),--(MONTH(Tracking[Date])=selected_period)))))</f>
        <v/>
      </c>
      <c r="L32" s="52" t="str" cm="1">
        <f t="array" ref="L32">IF(OR(is_header,is_empty),"",INDEX('Budget Planning'!$E:$FA,row_id,MATCH(IF(selected_period="Total Year",selected_year,DATE(selected_year,selected_period,1)),'Budget Planning'!$E$9:$FA$9,0)))</f>
        <v/>
      </c>
      <c r="M32" s="2" t="str" cm="1">
        <f t="array" ref="M32">IF(is_cat,IF(header_row_id=Income_header_row, MATCH(income_min_row,$C:$C,0),IF(header_row_id=expenses_header_row, MATCH(expenses_min_row,$C:$C,0),IF(header_row_id=savings_header_row, MATCH(savings_min_row,$C:$C,0),""))),"")</f>
        <v/>
      </c>
      <c r="N32" s="3" t="str" cm="1">
        <f t="array" ref="N32">IF(is_cat,IF(header_row_id=Income_header_row, MATCH(income_max_row,$C:$C,0),IF(header_row_id=expenses_header_row, MATCH(expenses_max_row,$C:$C,0),IF(header_row_id=savings_header_row, MATCH(savings_max_row,$C:$C,0),""))),"")</f>
        <v/>
      </c>
      <c r="O32" s="2" t="str">
        <f t="shared" si="3"/>
        <v/>
      </c>
      <c r="P32" t="str">
        <f t="shared" ca="1" si="4"/>
        <v/>
      </c>
      <c r="Q32" t="str">
        <f t="shared" si="5"/>
        <v/>
      </c>
      <c r="R32" s="3" t="str">
        <f t="shared" ca="1" si="6"/>
        <v/>
      </c>
      <c r="S32" s="2" t="str">
        <f t="shared" si="7"/>
        <v/>
      </c>
      <c r="T32" t="str">
        <f t="shared" si="8"/>
        <v/>
      </c>
      <c r="U32" t="str">
        <f t="shared" ca="1" si="9"/>
        <v/>
      </c>
      <c r="V32" t="str">
        <f t="shared" si="10"/>
        <v/>
      </c>
      <c r="W32" s="3" t="str">
        <f t="shared" ca="1" si="11"/>
        <v/>
      </c>
      <c r="X32" s="54">
        <f t="shared" si="12"/>
        <v>43</v>
      </c>
      <c r="Y32" s="55" t="str">
        <f t="shared" ca="1" si="13"/>
        <v xml:space="preserve"> Savings</v>
      </c>
      <c r="Z32" s="58" t="str">
        <f t="shared" si="14"/>
        <v>Tracked</v>
      </c>
      <c r="AA32" s="58" t="str">
        <f t="shared" si="15"/>
        <v>Budget</v>
      </c>
      <c r="AB32" s="57" t="str">
        <f t="shared" si="16"/>
        <v>% Compl.</v>
      </c>
      <c r="AC32" s="58" t="str">
        <f t="shared" si="17"/>
        <v>Remaining</v>
      </c>
      <c r="AD32" s="58" t="str">
        <f t="shared" si="18"/>
        <v>Excess</v>
      </c>
      <c r="AF32" s="2"/>
      <c r="AI32" s="69" t="str">
        <f ca="1">Calculations!I37</f>
        <v>Fuel</v>
      </c>
      <c r="AJ32" s="70">
        <f ca="1">Calculations!J37</f>
        <v>7500</v>
      </c>
      <c r="AK32" s="3"/>
      <c r="AM32" s="2"/>
      <c r="AP32" s="69" t="str">
        <f ca="1">Calculations!M37</f>
        <v>Coorg Trip Fund</v>
      </c>
      <c r="AQ32" s="70">
        <f ca="1">Calculations!N37</f>
        <v>15000</v>
      </c>
      <c r="AR32" s="3"/>
    </row>
    <row r="33" spans="3:44" x14ac:dyDescent="0.25">
      <c r="C33" s="2" cm="1">
        <f t="array" ref="C33">IF(C32=-1,-1, IF(C32&lt;income_max_row,C32+1,IF(C32=income_max_row,income_total_row,IF(C32=income_total_row,"/1", IF(C32="/1",expenses_header_row,IF(C32&lt;expenses_max_row,C32+1,IF(C32=expenses_max_row,expenses_total_row,IF(C32=expenses_total_row,"/2",IF(C32="/2",savings_header_row,IF(C32&lt;savings_max_row,C32+1,IF(C32=savings_max_row,savings_total_row,-1)))))))))))</f>
        <v>44</v>
      </c>
      <c r="D33" s="3">
        <f t="shared" si="0"/>
        <v>43</v>
      </c>
      <c r="E33" s="2" cm="1">
        <f t="array" ref="E33">1*OR(row_id=Income_header_row, row_id=expenses_header_row, row_id=savings_header_row)</f>
        <v>0</v>
      </c>
      <c r="F33">
        <f t="shared" si="1"/>
        <v>1</v>
      </c>
      <c r="G33" cm="1">
        <f t="array" ref="G33">1*OR(row_id=income_total_row, row_id=expenses_total_row, row_id=savings_total_row)</f>
        <v>0</v>
      </c>
      <c r="H33" s="3">
        <f t="shared" si="2"/>
        <v>0</v>
      </c>
      <c r="I33" s="2" t="str" cm="1">
        <f t="array" ref="I33">IFERROR(INDEX('Budget Planning'!$C:$C,header_row_id),"")</f>
        <v xml:space="preserve"> Savings</v>
      </c>
      <c r="J33" t="str" cm="1">
        <f t="array" ref="J33">IFERROR(INDEX('Budget Planning'!$C:$C,row_id),"")</f>
        <v>Emergency Fund</v>
      </c>
      <c r="K33" s="44" cm="1">
        <f t="array" aca="1" ref="K33" ca="1">IF(OR(is_header,is_empty),"",IF(is_total,IF(selected_period="Total Year",SUMPRODUCT(Tracking[Amount],--(TRIM(Tracking[Type])=TRIM(type)),--(Tracking[Date]&gt;=DATE(selected_year,1,1)),--(Tracking[Date]&lt;DATE(selected_year+1,1,1))),SUMPRODUCT(Tracking[Amount],--(TRIM(Tracking[Type])=TRIM(type)),--(Tracking[Date]&gt;=DATE(selected_year,1,1)),--(Tracking[Date]&lt;DATE(selected_year+1,1,1)),--(MONTH(Tracking[Date])=selected_period))),IF(selected_period="Total Year",SUMPRODUCT(Tracking[Amount],--(TRIM(Tracking[Type])=TRIM(type)),--(TRIM(Tracking[Categories])=TRIM(item)),--(Tracking[Date]&gt;=DATE(selected_year,1,1)),--(Tracking[Date]&lt;DATE(selected_year+1,1,1))),SUMPRODUCT(Tracking[Amount],--(TRIM(Tracking[Type])=TRIM(type)),--(TRIM(Tracking[Categories])=TRIM(item)),--(Tracking[Date]&gt;=DATE(selected_year,1,1)),--(Tracking[Date]&lt;DATE(selected_year+1,1,1)),--(MONTH(Tracking[Date])=selected_period)))))</f>
        <v>50000</v>
      </c>
      <c r="L33" s="52" cm="1">
        <f t="array" aca="1" ref="L33" ca="1">IF(OR(is_header,is_empty),"",INDEX('Budget Planning'!$E:$FA,row_id,MATCH(IF(selected_period="Total Year",selected_year,DATE(selected_year,selected_period,1)),'Budget Planning'!$E$9:$FA$9,0)))</f>
        <v>275000</v>
      </c>
      <c r="M33" s="2" cm="1">
        <f t="array" ref="M33">IF(is_cat,IF(header_row_id=Income_header_row, MATCH(income_min_row,$C:$C,0),IF(header_row_id=expenses_header_row, MATCH(expenses_min_row,$C:$C,0),IF(header_row_id=savings_header_row, MATCH(savings_min_row,$C:$C,0),""))),"")</f>
        <v>33</v>
      </c>
      <c r="N33" s="3" cm="1">
        <f t="array" ref="N33">IF(is_cat,IF(header_row_id=Income_header_row, MATCH(income_max_row,$C:$C,0),IF(header_row_id=expenses_header_row, MATCH(expenses_max_row,$C:$C,0),IF(header_row_id=savings_header_row, MATCH(savings_max_row,$C:$C,0),""))),"")</f>
        <v>41</v>
      </c>
      <c r="O33" s="2" t="str">
        <f t="shared" si="3"/>
        <v>$K$33:$K$41</v>
      </c>
      <c r="P33">
        <f t="shared" ca="1" si="4"/>
        <v>1</v>
      </c>
      <c r="Q33" t="str">
        <f t="shared" si="5"/>
        <v>$L$33:$L$41</v>
      </c>
      <c r="R33" s="3">
        <f t="shared" ca="1" si="6"/>
        <v>1</v>
      </c>
      <c r="S33" s="2">
        <f t="shared" ca="1" si="7"/>
        <v>11</v>
      </c>
      <c r="T33" t="str">
        <f t="shared" si="8"/>
        <v>$S$33:$S$41</v>
      </c>
      <c r="U33">
        <f t="shared" ca="1" si="9"/>
        <v>1</v>
      </c>
      <c r="V33" t="str">
        <f t="shared" si="10"/>
        <v>$U$33:$U$33</v>
      </c>
      <c r="W33" s="3">
        <f t="shared" ca="1" si="11"/>
        <v>1</v>
      </c>
      <c r="X33" s="54">
        <f t="shared" ca="1" si="12"/>
        <v>44</v>
      </c>
      <c r="Y33" s="55" t="str">
        <f t="shared" ca="1" si="13"/>
        <v>Emergency Fund</v>
      </c>
      <c r="Z33" s="58">
        <f t="shared" ca="1" si="14"/>
        <v>50000</v>
      </c>
      <c r="AA33" s="58">
        <f t="shared" ca="1" si="15"/>
        <v>275000</v>
      </c>
      <c r="AB33" s="57">
        <f t="shared" ca="1" si="16"/>
        <v>0.18181818181818182</v>
      </c>
      <c r="AC33" s="58">
        <f t="shared" ca="1" si="17"/>
        <v>225000</v>
      </c>
      <c r="AD33" s="58">
        <f t="shared" ca="1" si="18"/>
        <v>0</v>
      </c>
      <c r="AF33" s="2"/>
      <c r="AI33" s="69" t="str">
        <f ca="1">Calculations!I38</f>
        <v>Fun &amp; Vacation</v>
      </c>
      <c r="AJ33" s="70">
        <f ca="1">Calculations!J38</f>
        <v>6430</v>
      </c>
      <c r="AK33" s="3"/>
      <c r="AM33" s="2"/>
      <c r="AP33" s="69" t="str">
        <f ca="1">Calculations!M38</f>
        <v>SIP</v>
      </c>
      <c r="AQ33" s="70">
        <f ca="1">Calculations!N38</f>
        <v>6000</v>
      </c>
      <c r="AR33" s="3"/>
    </row>
    <row r="34" spans="3:44" x14ac:dyDescent="0.25">
      <c r="C34" s="2" cm="1">
        <f t="array" ref="C34">IF(C33=-1,-1, IF(C33&lt;income_max_row,C33+1,IF(C33=income_max_row,income_total_row,IF(C33=income_total_row,"/1", IF(C33="/1",expenses_header_row,IF(C33&lt;expenses_max_row,C33+1,IF(C33=expenses_max_row,expenses_total_row,IF(C33=expenses_total_row,"/2",IF(C33="/2",savings_header_row,IF(C33&lt;savings_max_row,C33+1,IF(C33=savings_max_row,savings_total_row,-1)))))))))))</f>
        <v>45</v>
      </c>
      <c r="D34" s="3">
        <f t="shared" si="0"/>
        <v>43</v>
      </c>
      <c r="E34" s="2" cm="1">
        <f t="array" ref="E34">1*OR(row_id=Income_header_row, row_id=expenses_header_row, row_id=savings_header_row)</f>
        <v>0</v>
      </c>
      <c r="F34">
        <f t="shared" si="1"/>
        <v>1</v>
      </c>
      <c r="G34" cm="1">
        <f t="array" ref="G34">1*OR(row_id=income_total_row, row_id=expenses_total_row, row_id=savings_total_row)</f>
        <v>0</v>
      </c>
      <c r="H34" s="3">
        <f t="shared" si="2"/>
        <v>0</v>
      </c>
      <c r="I34" s="2" t="str" cm="1">
        <f t="array" ref="I34">IFERROR(INDEX('Budget Planning'!$C:$C,header_row_id),"")</f>
        <v xml:space="preserve"> Savings</v>
      </c>
      <c r="J34" t="str" cm="1">
        <f t="array" ref="J34">IFERROR(INDEX('Budget Planning'!$C:$C,row_id),"")</f>
        <v>SIP</v>
      </c>
      <c r="K34" s="44" cm="1">
        <f t="array" aca="1" ref="K34" ca="1">IF(OR(is_header,is_empty),"",IF(is_total,IF(selected_period="Total Year",SUMPRODUCT(Tracking[Amount],--(TRIM(Tracking[Type])=TRIM(type)),--(Tracking[Date]&gt;=DATE(selected_year,1,1)),--(Tracking[Date]&lt;DATE(selected_year+1,1,1))),SUMPRODUCT(Tracking[Amount],--(TRIM(Tracking[Type])=TRIM(type)),--(Tracking[Date]&gt;=DATE(selected_year,1,1)),--(Tracking[Date]&lt;DATE(selected_year+1,1,1)),--(MONTH(Tracking[Date])=selected_period))),IF(selected_period="Total Year",SUMPRODUCT(Tracking[Amount],--(TRIM(Tracking[Type])=TRIM(type)),--(TRIM(Tracking[Categories])=TRIM(item)),--(Tracking[Date]&gt;=DATE(selected_year,1,1)),--(Tracking[Date]&lt;DATE(selected_year+1,1,1))),SUMPRODUCT(Tracking[Amount],--(TRIM(Tracking[Type])=TRIM(type)),--(TRIM(Tracking[Categories])=TRIM(item)),--(Tracking[Date]&gt;=DATE(selected_year,1,1)),--(Tracking[Date]&lt;DATE(selected_year+1,1,1)),--(MONTH(Tracking[Date])=selected_period)))))</f>
        <v>6000</v>
      </c>
      <c r="L34" s="52" cm="1">
        <f t="array" aca="1" ref="L34" ca="1">IF(OR(is_header,is_empty),"",INDEX('Budget Planning'!$E:$FA,row_id,MATCH(IF(selected_period="Total Year",selected_year,DATE(selected_year,selected_period,1)),'Budget Planning'!$E$9:$FA$9,0)))</f>
        <v>113000</v>
      </c>
      <c r="M34" s="2" cm="1">
        <f t="array" ref="M34">IF(is_cat,IF(header_row_id=Income_header_row, MATCH(income_min_row,$C:$C,0),IF(header_row_id=expenses_header_row, MATCH(expenses_min_row,$C:$C,0),IF(header_row_id=savings_header_row, MATCH(savings_min_row,$C:$C,0),""))),"")</f>
        <v>33</v>
      </c>
      <c r="N34" s="3" cm="1">
        <f t="array" ref="N34">IF(is_cat,IF(header_row_id=Income_header_row, MATCH(income_max_row,$C:$C,0),IF(header_row_id=expenses_header_row, MATCH(expenses_max_row,$C:$C,0),IF(header_row_id=savings_header_row, MATCH(savings_max_row,$C:$C,0),""))),"")</f>
        <v>41</v>
      </c>
      <c r="O34" s="2" t="str">
        <f t="shared" si="3"/>
        <v>$K$33:$K$41</v>
      </c>
      <c r="P34">
        <f t="shared" ca="1" si="4"/>
        <v>4</v>
      </c>
      <c r="Q34" t="str">
        <f t="shared" si="5"/>
        <v>$L$33:$L$41</v>
      </c>
      <c r="R34" s="3">
        <f t="shared" ca="1" si="6"/>
        <v>3</v>
      </c>
      <c r="S34" s="2">
        <f t="shared" ca="1" si="7"/>
        <v>43</v>
      </c>
      <c r="T34" t="str">
        <f t="shared" si="8"/>
        <v>$S$33:$S$41</v>
      </c>
      <c r="U34">
        <f t="shared" ca="1" si="9"/>
        <v>4</v>
      </c>
      <c r="V34" t="str">
        <f t="shared" si="10"/>
        <v>$U$33:$U$34</v>
      </c>
      <c r="W34" s="3">
        <f t="shared" ca="1" si="11"/>
        <v>4</v>
      </c>
      <c r="X34" s="54">
        <f t="shared" ca="1" si="12"/>
        <v>47</v>
      </c>
      <c r="Y34" s="55" t="str">
        <f t="shared" ca="1" si="13"/>
        <v>Mcleodganj Trip Fund</v>
      </c>
      <c r="Z34" s="58">
        <f t="shared" ca="1" si="14"/>
        <v>35000</v>
      </c>
      <c r="AA34" s="58">
        <f t="shared" ca="1" si="15"/>
        <v>50000</v>
      </c>
      <c r="AB34" s="57">
        <f t="shared" ca="1" si="16"/>
        <v>0.7</v>
      </c>
      <c r="AC34" s="58">
        <f t="shared" ca="1" si="17"/>
        <v>15000</v>
      </c>
      <c r="AD34" s="58">
        <f t="shared" ca="1" si="18"/>
        <v>0</v>
      </c>
      <c r="AF34" s="2"/>
      <c r="AI34" s="69" t="str">
        <f ca="1">Calculations!I39</f>
        <v>MISC</v>
      </c>
      <c r="AJ34" s="70">
        <f ca="1">Calculations!J39</f>
        <v>3222</v>
      </c>
      <c r="AK34" s="3"/>
      <c r="AM34" s="2"/>
      <c r="AP34" s="69" t="str">
        <f ca="1">Calculations!M39</f>
        <v>Skill Development</v>
      </c>
      <c r="AQ34" s="70">
        <f ca="1">Calculations!N39</f>
        <v>5686</v>
      </c>
      <c r="AR34" s="3"/>
    </row>
    <row r="35" spans="3:44" x14ac:dyDescent="0.25">
      <c r="C35" s="2" cm="1">
        <f t="array" ref="C35">IF(C34=-1,-1, IF(C34&lt;income_max_row,C34+1,IF(C34=income_max_row,income_total_row,IF(C34=income_total_row,"/1", IF(C34="/1",expenses_header_row,IF(C34&lt;expenses_max_row,C34+1,IF(C34=expenses_max_row,expenses_total_row,IF(C34=expenses_total_row,"/2",IF(C34="/2",savings_header_row,IF(C34&lt;savings_max_row,C34+1,IF(C34=savings_max_row,savings_total_row,-1)))))))))))</f>
        <v>46</v>
      </c>
      <c r="D35" s="3">
        <f t="shared" si="0"/>
        <v>43</v>
      </c>
      <c r="E35" s="2" cm="1">
        <f t="array" ref="E35">1*OR(row_id=Income_header_row, row_id=expenses_header_row, row_id=savings_header_row)</f>
        <v>0</v>
      </c>
      <c r="F35">
        <f t="shared" si="1"/>
        <v>1</v>
      </c>
      <c r="G35" cm="1">
        <f t="array" ref="G35">1*OR(row_id=income_total_row, row_id=expenses_total_row, row_id=savings_total_row)</f>
        <v>0</v>
      </c>
      <c r="H35" s="3">
        <f t="shared" si="2"/>
        <v>0</v>
      </c>
      <c r="I35" s="2" t="str" cm="1">
        <f t="array" ref="I35">IFERROR(INDEX('Budget Planning'!$C:$C,header_row_id),"")</f>
        <v xml:space="preserve"> Savings</v>
      </c>
      <c r="J35" t="str" cm="1">
        <f t="array" ref="J35">IFERROR(INDEX('Budget Planning'!$C:$C,row_id),"")</f>
        <v>Stock Portfolio</v>
      </c>
      <c r="K35" s="44" cm="1">
        <f t="array" aca="1" ref="K35" ca="1">IF(OR(is_header,is_empty),"",IF(is_total,IF(selected_period="Total Year",SUMPRODUCT(Tracking[Amount],--(TRIM(Tracking[Type])=TRIM(type)),--(Tracking[Date]&gt;=DATE(selected_year,1,1)),--(Tracking[Date]&lt;DATE(selected_year+1,1,1))),SUMPRODUCT(Tracking[Amount],--(TRIM(Tracking[Type])=TRIM(type)),--(Tracking[Date]&gt;=DATE(selected_year,1,1)),--(Tracking[Date]&lt;DATE(selected_year+1,1,1)),--(MONTH(Tracking[Date])=selected_period))),IF(selected_period="Total Year",SUMPRODUCT(Tracking[Amount],--(TRIM(Tracking[Type])=TRIM(type)),--(TRIM(Tracking[Categories])=TRIM(item)),--(Tracking[Date]&gt;=DATE(selected_year,1,1)),--(Tracking[Date]&lt;DATE(selected_year+1,1,1))),SUMPRODUCT(Tracking[Amount],--(TRIM(Tracking[Type])=TRIM(type)),--(TRIM(Tracking[Categories])=TRIM(item)),--(Tracking[Date]&gt;=DATE(selected_year,1,1)),--(Tracking[Date]&lt;DATE(selected_year+1,1,1)),--(MONTH(Tracking[Date])=selected_period)))))</f>
        <v>0</v>
      </c>
      <c r="L35" s="52" cm="1">
        <f t="array" aca="1" ref="L35" ca="1">IF(OR(is_header,is_empty),"",INDEX('Budget Planning'!$E:$FA,row_id,MATCH(IF(selected_period="Total Year",selected_year,DATE(selected_year,selected_period,1)),'Budget Planning'!$E$9:$FA$9,0)))</f>
        <v>120186</v>
      </c>
      <c r="M35" s="2" cm="1">
        <f t="array" ref="M35">IF(is_cat,IF(header_row_id=Income_header_row, MATCH(income_min_row,$C:$C,0),IF(header_row_id=expenses_header_row, MATCH(expenses_min_row,$C:$C,0),IF(header_row_id=savings_header_row, MATCH(savings_min_row,$C:$C,0),""))),"")</f>
        <v>33</v>
      </c>
      <c r="N35" s="3" cm="1">
        <f t="array" ref="N35">IF(is_cat,IF(header_row_id=Income_header_row, MATCH(income_max_row,$C:$C,0),IF(header_row_id=expenses_header_row, MATCH(expenses_max_row,$C:$C,0),IF(header_row_id=savings_header_row, MATCH(savings_max_row,$C:$C,0),""))),"")</f>
        <v>41</v>
      </c>
      <c r="O35" s="2" t="str">
        <f t="shared" si="3"/>
        <v>$K$33:$K$41</v>
      </c>
      <c r="P35">
        <f t="shared" ca="1" si="4"/>
        <v>6</v>
      </c>
      <c r="Q35" t="str">
        <f t="shared" si="5"/>
        <v>$L$33:$L$41</v>
      </c>
      <c r="R35" s="3">
        <f t="shared" ca="1" si="6"/>
        <v>2</v>
      </c>
      <c r="S35" s="2">
        <f t="shared" ca="1" si="7"/>
        <v>62</v>
      </c>
      <c r="T35" t="str">
        <f t="shared" si="8"/>
        <v>$S$33:$S$41</v>
      </c>
      <c r="U35">
        <f t="shared" ca="1" si="9"/>
        <v>6</v>
      </c>
      <c r="V35" t="str">
        <f t="shared" si="10"/>
        <v>$U$33:$U$35</v>
      </c>
      <c r="W35" s="3">
        <f t="shared" ca="1" si="11"/>
        <v>6</v>
      </c>
      <c r="X35" s="54">
        <f t="shared" ca="1" si="12"/>
        <v>49</v>
      </c>
      <c r="Y35" s="55" t="str">
        <f t="shared" ca="1" si="13"/>
        <v>Coorg Trip Fund</v>
      </c>
      <c r="Z35" s="58">
        <f t="shared" ca="1" si="14"/>
        <v>15000</v>
      </c>
      <c r="AA35" s="58">
        <f t="shared" ca="1" si="15"/>
        <v>12500</v>
      </c>
      <c r="AB35" s="57">
        <f t="shared" ca="1" si="16"/>
        <v>1.2</v>
      </c>
      <c r="AC35" s="58">
        <f t="shared" ca="1" si="17"/>
        <v>0</v>
      </c>
      <c r="AD35" s="58">
        <f t="shared" ca="1" si="18"/>
        <v>2500</v>
      </c>
      <c r="AF35" s="2"/>
      <c r="AI35" s="69" t="str">
        <f ca="1">Calculations!I40</f>
        <v>Other</v>
      </c>
      <c r="AJ35" s="70">
        <f ca="1">Calculations!J40</f>
        <v>3573</v>
      </c>
      <c r="AK35" s="3"/>
      <c r="AM35" s="2"/>
      <c r="AP35" s="69" t="str">
        <f ca="1">Calculations!M40</f>
        <v/>
      </c>
      <c r="AQ35" s="70" t="str">
        <f ca="1">Calculations!N40</f>
        <v/>
      </c>
      <c r="AR35" s="3"/>
    </row>
    <row r="36" spans="3:44" x14ac:dyDescent="0.25">
      <c r="C36" s="2" cm="1">
        <f t="array" ref="C36">IF(C35=-1,-1, IF(C35&lt;income_max_row,C35+1,IF(C35=income_max_row,income_total_row,IF(C35=income_total_row,"/1", IF(C35="/1",expenses_header_row,IF(C35&lt;expenses_max_row,C35+1,IF(C35=expenses_max_row,expenses_total_row,IF(C35=expenses_total_row,"/2",IF(C35="/2",savings_header_row,IF(C35&lt;savings_max_row,C35+1,IF(C35=savings_max_row,savings_total_row,-1)))))))))))</f>
        <v>47</v>
      </c>
      <c r="D36" s="3">
        <f t="shared" si="0"/>
        <v>43</v>
      </c>
      <c r="E36" s="2" cm="1">
        <f t="array" ref="E36">1*OR(row_id=Income_header_row, row_id=expenses_header_row, row_id=savings_header_row)</f>
        <v>0</v>
      </c>
      <c r="F36">
        <f t="shared" si="1"/>
        <v>1</v>
      </c>
      <c r="G36" cm="1">
        <f t="array" ref="G36">1*OR(row_id=income_total_row, row_id=expenses_total_row, row_id=savings_total_row)</f>
        <v>0</v>
      </c>
      <c r="H36" s="3">
        <f t="shared" si="2"/>
        <v>0</v>
      </c>
      <c r="I36" s="2" t="str" cm="1">
        <f t="array" ref="I36">IFERROR(INDEX('Budget Planning'!$C:$C,header_row_id),"")</f>
        <v xml:space="preserve"> Savings</v>
      </c>
      <c r="J36" t="str" cm="1">
        <f t="array" ref="J36">IFERROR(INDEX('Budget Planning'!$C:$C,row_id),"")</f>
        <v>Crpto</v>
      </c>
      <c r="K36" s="44" cm="1">
        <f t="array" aca="1" ref="K36" ca="1">IF(OR(is_header,is_empty),"",IF(is_total,IF(selected_period="Total Year",SUMPRODUCT(Tracking[Amount],--(TRIM(Tracking[Type])=TRIM(type)),--(Tracking[Date]&gt;=DATE(selected_year,1,1)),--(Tracking[Date]&lt;DATE(selected_year+1,1,1))),SUMPRODUCT(Tracking[Amount],--(TRIM(Tracking[Type])=TRIM(type)),--(Tracking[Date]&gt;=DATE(selected_year,1,1)),--(Tracking[Date]&lt;DATE(selected_year+1,1,1)),--(MONTH(Tracking[Date])=selected_period))),IF(selected_period="Total Year",SUMPRODUCT(Tracking[Amount],--(TRIM(Tracking[Type])=TRIM(type)),--(TRIM(Tracking[Categories])=TRIM(item)),--(Tracking[Date]&gt;=DATE(selected_year,1,1)),--(Tracking[Date]&lt;DATE(selected_year+1,1,1))),SUMPRODUCT(Tracking[Amount],--(TRIM(Tracking[Type])=TRIM(type)),--(TRIM(Tracking[Categories])=TRIM(item)),--(Tracking[Date]&gt;=DATE(selected_year,1,1)),--(Tracking[Date]&lt;DATE(selected_year+1,1,1)),--(MONTH(Tracking[Date])=selected_period)))))</f>
        <v>0</v>
      </c>
      <c r="L36" s="52" cm="1">
        <f t="array" aca="1" ref="L36" ca="1">IF(OR(is_header,is_empty),"",INDEX('Budget Planning'!$E:$FA,row_id,MATCH(IF(selected_period="Total Year",selected_year,DATE(selected_year,selected_period,1)),'Budget Planning'!$E$9:$FA$9,0)))</f>
        <v>41359</v>
      </c>
      <c r="M36" s="2" cm="1">
        <f t="array" ref="M36">IF(is_cat,IF(header_row_id=Income_header_row, MATCH(income_min_row,$C:$C,0),IF(header_row_id=expenses_header_row, MATCH(expenses_min_row,$C:$C,0),IF(header_row_id=savings_header_row, MATCH(savings_min_row,$C:$C,0),""))),"")</f>
        <v>33</v>
      </c>
      <c r="N36" s="3" cm="1">
        <f t="array" ref="N36">IF(is_cat,IF(header_row_id=Income_header_row, MATCH(income_max_row,$C:$C,0),IF(header_row_id=expenses_header_row, MATCH(expenses_max_row,$C:$C,0),IF(header_row_id=savings_header_row, MATCH(savings_max_row,$C:$C,0),""))),"")</f>
        <v>41</v>
      </c>
      <c r="O36" s="2" t="str">
        <f t="shared" si="3"/>
        <v>$K$33:$K$41</v>
      </c>
      <c r="P36">
        <f t="shared" ca="1" si="4"/>
        <v>6</v>
      </c>
      <c r="Q36" t="str">
        <f t="shared" si="5"/>
        <v>$L$33:$L$41</v>
      </c>
      <c r="R36" s="3">
        <f t="shared" ca="1" si="6"/>
        <v>7</v>
      </c>
      <c r="S36" s="2">
        <f t="shared" ca="1" si="7"/>
        <v>67</v>
      </c>
      <c r="T36" t="str">
        <f t="shared" si="8"/>
        <v>$S$33:$S$41</v>
      </c>
      <c r="U36">
        <f t="shared" ca="1" si="9"/>
        <v>9</v>
      </c>
      <c r="V36" t="str">
        <f t="shared" si="10"/>
        <v>$U$33:$U$36</v>
      </c>
      <c r="W36" s="3">
        <f t="shared" ca="1" si="11"/>
        <v>9</v>
      </c>
      <c r="X36" s="54">
        <f t="shared" ca="1" si="12"/>
        <v>52</v>
      </c>
      <c r="Y36" s="55" t="str">
        <f t="shared" ca="1" si="13"/>
        <v>SIP</v>
      </c>
      <c r="Z36" s="58">
        <f t="shared" ca="1" si="14"/>
        <v>6000</v>
      </c>
      <c r="AA36" s="58">
        <f t="shared" ca="1" si="15"/>
        <v>113000</v>
      </c>
      <c r="AB36" s="57">
        <f t="shared" ca="1" si="16"/>
        <v>5.3097345132743362E-2</v>
      </c>
      <c r="AC36" s="58">
        <f t="shared" ca="1" si="17"/>
        <v>107000</v>
      </c>
      <c r="AD36" s="58">
        <f t="shared" ca="1" si="18"/>
        <v>0</v>
      </c>
      <c r="AF36" s="2"/>
      <c r="AI36" s="71" t="str">
        <f>Calculations!I41</f>
        <v>Total</v>
      </c>
      <c r="AJ36" s="72">
        <f ca="1">Calculations!J41</f>
        <v>91555</v>
      </c>
      <c r="AK36" s="3"/>
      <c r="AM36" s="2"/>
      <c r="AP36" s="71" t="str">
        <f>Calculations!M41</f>
        <v>Total</v>
      </c>
      <c r="AQ36" s="72">
        <f ca="1">Calculations!N41</f>
        <v>111686</v>
      </c>
      <c r="AR36" s="3"/>
    </row>
    <row r="37" spans="3:44" x14ac:dyDescent="0.25">
      <c r="C37" s="2" cm="1">
        <f t="array" ref="C37">IF(C36=-1,-1, IF(C36&lt;income_max_row,C36+1,IF(C36=income_max_row,income_total_row,IF(C36=income_total_row,"/1", IF(C36="/1",expenses_header_row,IF(C36&lt;expenses_max_row,C36+1,IF(C36=expenses_max_row,expenses_total_row,IF(C36=expenses_total_row,"/2",IF(C36="/2",savings_header_row,IF(C36&lt;savings_max_row,C36+1,IF(C36=savings_max_row,savings_total_row,-1)))))))))))</f>
        <v>48</v>
      </c>
      <c r="D37" s="3">
        <f t="shared" si="0"/>
        <v>43</v>
      </c>
      <c r="E37" s="2" cm="1">
        <f t="array" ref="E37">1*OR(row_id=Income_header_row, row_id=expenses_header_row, row_id=savings_header_row)</f>
        <v>0</v>
      </c>
      <c r="F37">
        <f t="shared" si="1"/>
        <v>1</v>
      </c>
      <c r="G37" cm="1">
        <f t="array" ref="G37">1*OR(row_id=income_total_row, row_id=expenses_total_row, row_id=savings_total_row)</f>
        <v>0</v>
      </c>
      <c r="H37" s="3">
        <f t="shared" si="2"/>
        <v>0</v>
      </c>
      <c r="I37" s="2" t="str" cm="1">
        <f t="array" ref="I37">IFERROR(INDEX('Budget Planning'!$C:$C,header_row_id),"")</f>
        <v xml:space="preserve"> Savings</v>
      </c>
      <c r="J37" t="str" cm="1">
        <f t="array" ref="J37">IFERROR(INDEX('Budget Planning'!$C:$C,row_id),"")</f>
        <v>Skill Development</v>
      </c>
      <c r="K37" s="44" cm="1">
        <f t="array" aca="1" ref="K37" ca="1">IF(OR(is_header,is_empty),"",IF(is_total,IF(selected_period="Total Year",SUMPRODUCT(Tracking[Amount],--(TRIM(Tracking[Type])=TRIM(type)),--(Tracking[Date]&gt;=DATE(selected_year,1,1)),--(Tracking[Date]&lt;DATE(selected_year+1,1,1))),SUMPRODUCT(Tracking[Amount],--(TRIM(Tracking[Type])=TRIM(type)),--(Tracking[Date]&gt;=DATE(selected_year,1,1)),--(Tracking[Date]&lt;DATE(selected_year+1,1,1)),--(MONTH(Tracking[Date])=selected_period))),IF(selected_period="Total Year",SUMPRODUCT(Tracking[Amount],--(TRIM(Tracking[Type])=TRIM(type)),--(TRIM(Tracking[Categories])=TRIM(item)),--(Tracking[Date]&gt;=DATE(selected_year,1,1)),--(Tracking[Date]&lt;DATE(selected_year+1,1,1))),SUMPRODUCT(Tracking[Amount],--(TRIM(Tracking[Type])=TRIM(type)),--(TRIM(Tracking[Categories])=TRIM(item)),--(Tracking[Date]&gt;=DATE(selected_year,1,1)),--(Tracking[Date]&lt;DATE(selected_year+1,1,1)),--(MONTH(Tracking[Date])=selected_period)))))</f>
        <v>5686</v>
      </c>
      <c r="L37" s="52" cm="1">
        <f t="array" aca="1" ref="L37" ca="1">IF(OR(is_header,is_empty),"",INDEX('Budget Planning'!$E:$FA,row_id,MATCH(IF(selected_period="Total Year",selected_year,DATE(selected_year,selected_period,1)),'Budget Planning'!$E$9:$FA$9,0)))</f>
        <v>33000</v>
      </c>
      <c r="M37" s="2" cm="1">
        <f t="array" ref="M37">IF(is_cat,IF(header_row_id=Income_header_row, MATCH(income_min_row,$C:$C,0),IF(header_row_id=expenses_header_row, MATCH(expenses_min_row,$C:$C,0),IF(header_row_id=savings_header_row, MATCH(savings_min_row,$C:$C,0),""))),"")</f>
        <v>33</v>
      </c>
      <c r="N37" s="3" cm="1">
        <f t="array" ref="N37">IF(is_cat,IF(header_row_id=Income_header_row, MATCH(income_max_row,$C:$C,0),IF(header_row_id=expenses_header_row, MATCH(expenses_max_row,$C:$C,0),IF(header_row_id=savings_header_row, MATCH(savings_max_row,$C:$C,0),""))),"")</f>
        <v>41</v>
      </c>
      <c r="O37" s="2" t="str">
        <f t="shared" si="3"/>
        <v>$K$33:$K$41</v>
      </c>
      <c r="P37">
        <f t="shared" ca="1" si="4"/>
        <v>5</v>
      </c>
      <c r="Q37" t="str">
        <f t="shared" si="5"/>
        <v>$L$33:$L$41</v>
      </c>
      <c r="R37" s="3">
        <f t="shared" ca="1" si="6"/>
        <v>8</v>
      </c>
      <c r="S37" s="2">
        <f t="shared" ca="1" si="7"/>
        <v>58</v>
      </c>
      <c r="T37" t="str">
        <f t="shared" si="8"/>
        <v>$S$33:$S$41</v>
      </c>
      <c r="U37">
        <f t="shared" ca="1" si="9"/>
        <v>5</v>
      </c>
      <c r="V37" t="str">
        <f t="shared" si="10"/>
        <v>$U$33:$U$37</v>
      </c>
      <c r="W37" s="3">
        <f t="shared" ca="1" si="11"/>
        <v>5</v>
      </c>
      <c r="X37" s="54">
        <f t="shared" ca="1" si="12"/>
        <v>48</v>
      </c>
      <c r="Y37" s="55" t="str">
        <f t="shared" ca="1" si="13"/>
        <v>Skill Development</v>
      </c>
      <c r="Z37" s="58">
        <f t="shared" ca="1" si="14"/>
        <v>5686</v>
      </c>
      <c r="AA37" s="58">
        <f t="shared" ca="1" si="15"/>
        <v>33000</v>
      </c>
      <c r="AB37" s="57">
        <f t="shared" ca="1" si="16"/>
        <v>0.17230303030303029</v>
      </c>
      <c r="AC37" s="58">
        <f t="shared" ca="1" si="17"/>
        <v>27314</v>
      </c>
      <c r="AD37" s="58">
        <f t="shared" ca="1" si="18"/>
        <v>0</v>
      </c>
      <c r="AF37" s="4"/>
      <c r="AG37" s="5"/>
      <c r="AH37" s="5"/>
      <c r="AI37" s="5"/>
      <c r="AJ37" s="5"/>
      <c r="AK37" s="62"/>
      <c r="AM37" s="4"/>
      <c r="AN37" s="5"/>
      <c r="AO37" s="5"/>
      <c r="AP37" s="5"/>
      <c r="AQ37" s="5"/>
      <c r="AR37" s="62"/>
    </row>
    <row r="38" spans="3:44" x14ac:dyDescent="0.25">
      <c r="C38" s="2" cm="1">
        <f t="array" ref="C38">IF(C37=-1,-1, IF(C37&lt;income_max_row,C37+1,IF(C37=income_max_row,income_total_row,IF(C37=income_total_row,"/1", IF(C37="/1",expenses_header_row,IF(C37&lt;expenses_max_row,C37+1,IF(C37=expenses_max_row,expenses_total_row,IF(C37=expenses_total_row,"/2",IF(C37="/2",savings_header_row,IF(C37&lt;savings_max_row,C37+1,IF(C37=savings_max_row,savings_total_row,-1)))))))))))</f>
        <v>49</v>
      </c>
      <c r="D38" s="3">
        <f t="shared" si="0"/>
        <v>43</v>
      </c>
      <c r="E38" s="2" cm="1">
        <f t="array" ref="E38">1*OR(row_id=Income_header_row, row_id=expenses_header_row, row_id=savings_header_row)</f>
        <v>0</v>
      </c>
      <c r="F38">
        <f t="shared" si="1"/>
        <v>1</v>
      </c>
      <c r="G38" cm="1">
        <f t="array" ref="G38">1*OR(row_id=income_total_row, row_id=expenses_total_row, row_id=savings_total_row)</f>
        <v>0</v>
      </c>
      <c r="H38" s="3">
        <f t="shared" si="2"/>
        <v>0</v>
      </c>
      <c r="I38" s="2" t="str" cm="1">
        <f t="array" ref="I38">IFERROR(INDEX('Budget Planning'!$C:$C,header_row_id),"")</f>
        <v xml:space="preserve"> Savings</v>
      </c>
      <c r="J38" t="str" cm="1">
        <f t="array" ref="J38">IFERROR(INDEX('Budget Planning'!$C:$C,row_id),"")</f>
        <v>Coorg Trip Fund</v>
      </c>
      <c r="K38" s="44" cm="1">
        <f t="array" aca="1" ref="K38" ca="1">IF(OR(is_header,is_empty),"",IF(is_total,IF(selected_period="Total Year",SUMPRODUCT(Tracking[Amount],--(TRIM(Tracking[Type])=TRIM(type)),--(Tracking[Date]&gt;=DATE(selected_year,1,1)),--(Tracking[Date]&lt;DATE(selected_year+1,1,1))),SUMPRODUCT(Tracking[Amount],--(TRIM(Tracking[Type])=TRIM(type)),--(Tracking[Date]&gt;=DATE(selected_year,1,1)),--(Tracking[Date]&lt;DATE(selected_year+1,1,1)),--(MONTH(Tracking[Date])=selected_period))),IF(selected_period="Total Year",SUMPRODUCT(Tracking[Amount],--(TRIM(Tracking[Type])=TRIM(type)),--(TRIM(Tracking[Categories])=TRIM(item)),--(Tracking[Date]&gt;=DATE(selected_year,1,1)),--(Tracking[Date]&lt;DATE(selected_year+1,1,1))),SUMPRODUCT(Tracking[Amount],--(TRIM(Tracking[Type])=TRIM(type)),--(TRIM(Tracking[Categories])=TRIM(item)),--(Tracking[Date]&gt;=DATE(selected_year,1,1)),--(Tracking[Date]&lt;DATE(selected_year+1,1,1)),--(MONTH(Tracking[Date])=selected_period)))))</f>
        <v>15000</v>
      </c>
      <c r="L38" s="52" cm="1">
        <f t="array" aca="1" ref="L38" ca="1">IF(OR(is_header,is_empty),"",INDEX('Budget Planning'!$E:$FA,row_id,MATCH(IF(selected_period="Total Year",selected_year,DATE(selected_year,selected_period,1)),'Budget Planning'!$E$9:$FA$9,0)))</f>
        <v>12500</v>
      </c>
      <c r="M38" s="2" cm="1">
        <f t="array" ref="M38">IF(is_cat,IF(header_row_id=Income_header_row, MATCH(income_min_row,$C:$C,0),IF(header_row_id=expenses_header_row, MATCH(expenses_min_row,$C:$C,0),IF(header_row_id=savings_header_row, MATCH(savings_min_row,$C:$C,0),""))),"")</f>
        <v>33</v>
      </c>
      <c r="N38" s="3" cm="1">
        <f t="array" ref="N38">IF(is_cat,IF(header_row_id=Income_header_row, MATCH(income_max_row,$C:$C,0),IF(header_row_id=expenses_header_row, MATCH(expenses_max_row,$C:$C,0),IF(header_row_id=savings_header_row, MATCH(savings_max_row,$C:$C,0),""))),"")</f>
        <v>41</v>
      </c>
      <c r="O38" s="2" t="str">
        <f t="shared" si="3"/>
        <v>$K$33:$K$41</v>
      </c>
      <c r="P38">
        <f t="shared" ca="1" si="4"/>
        <v>3</v>
      </c>
      <c r="Q38" t="str">
        <f t="shared" si="5"/>
        <v>$L$33:$L$41</v>
      </c>
      <c r="R38" s="3">
        <f t="shared" ca="1" si="6"/>
        <v>9</v>
      </c>
      <c r="S38" s="2">
        <f t="shared" ca="1" si="7"/>
        <v>39</v>
      </c>
      <c r="T38" t="str">
        <f t="shared" si="8"/>
        <v>$S$33:$S$41</v>
      </c>
      <c r="U38">
        <f t="shared" ca="1" si="9"/>
        <v>3</v>
      </c>
      <c r="V38" t="str">
        <f t="shared" si="10"/>
        <v>$U$33:$U$38</v>
      </c>
      <c r="W38" s="3">
        <f t="shared" ca="1" si="11"/>
        <v>3</v>
      </c>
      <c r="X38" s="54">
        <f t="shared" ca="1" si="12"/>
        <v>46</v>
      </c>
      <c r="Y38" s="55" t="str">
        <f t="shared" ca="1" si="13"/>
        <v>Stock Portfolio</v>
      </c>
      <c r="Z38" s="58">
        <f t="shared" ca="1" si="14"/>
        <v>0</v>
      </c>
      <c r="AA38" s="58">
        <f t="shared" ca="1" si="15"/>
        <v>120186</v>
      </c>
      <c r="AB38" s="57">
        <f t="shared" ca="1" si="16"/>
        <v>0</v>
      </c>
      <c r="AC38" s="58">
        <f t="shared" ca="1" si="17"/>
        <v>120186</v>
      </c>
      <c r="AD38" s="58">
        <f t="shared" ca="1" si="18"/>
        <v>0</v>
      </c>
    </row>
    <row r="39" spans="3:44" x14ac:dyDescent="0.25">
      <c r="C39" s="2" cm="1">
        <f t="array" ref="C39">IF(C38=-1,-1, IF(C38&lt;income_max_row,C38+1,IF(C38=income_max_row,income_total_row,IF(C38=income_total_row,"/1", IF(C38="/1",expenses_header_row,IF(C38&lt;expenses_max_row,C38+1,IF(C38=expenses_max_row,expenses_total_row,IF(C38=expenses_total_row,"/2",IF(C38="/2",savings_header_row,IF(C38&lt;savings_max_row,C38+1,IF(C38=savings_max_row,savings_total_row,-1)))))))))))</f>
        <v>50</v>
      </c>
      <c r="D39" s="3">
        <f t="shared" si="0"/>
        <v>43</v>
      </c>
      <c r="E39" s="2" cm="1">
        <f t="array" ref="E39">1*OR(row_id=Income_header_row, row_id=expenses_header_row, row_id=savings_header_row)</f>
        <v>0</v>
      </c>
      <c r="F39">
        <f t="shared" si="1"/>
        <v>1</v>
      </c>
      <c r="G39" cm="1">
        <f t="array" ref="G39">1*OR(row_id=income_total_row, row_id=expenses_total_row, row_id=savings_total_row)</f>
        <v>0</v>
      </c>
      <c r="H39" s="3">
        <f t="shared" si="2"/>
        <v>0</v>
      </c>
      <c r="I39" s="2" t="str" cm="1">
        <f t="array" ref="I39">IFERROR(INDEX('Budget Planning'!$C:$C,header_row_id),"")</f>
        <v xml:space="preserve"> Savings</v>
      </c>
      <c r="J39" t="str" cm="1">
        <f t="array" ref="J39">IFERROR(INDEX('Budget Planning'!$C:$C,row_id),"")</f>
        <v>Mcleodganj Trip Fund</v>
      </c>
      <c r="K39" s="44" cm="1">
        <f t="array" aca="1" ref="K39" ca="1">IF(OR(is_header,is_empty),"",IF(is_total,IF(selected_period="Total Year",SUMPRODUCT(Tracking[Amount],--(TRIM(Tracking[Type])=TRIM(type)),--(Tracking[Date]&gt;=DATE(selected_year,1,1)),--(Tracking[Date]&lt;DATE(selected_year+1,1,1))),SUMPRODUCT(Tracking[Amount],--(TRIM(Tracking[Type])=TRIM(type)),--(Tracking[Date]&gt;=DATE(selected_year,1,1)),--(Tracking[Date]&lt;DATE(selected_year+1,1,1)),--(MONTH(Tracking[Date])=selected_period))),IF(selected_period="Total Year",SUMPRODUCT(Tracking[Amount],--(TRIM(Tracking[Type])=TRIM(type)),--(TRIM(Tracking[Categories])=TRIM(item)),--(Tracking[Date]&gt;=DATE(selected_year,1,1)),--(Tracking[Date]&lt;DATE(selected_year+1,1,1))),SUMPRODUCT(Tracking[Amount],--(TRIM(Tracking[Type])=TRIM(type)),--(TRIM(Tracking[Categories])=TRIM(item)),--(Tracking[Date]&gt;=DATE(selected_year,1,1)),--(Tracking[Date]&lt;DATE(selected_year+1,1,1)),--(MONTH(Tracking[Date])=selected_period)))))</f>
        <v>35000</v>
      </c>
      <c r="L39" s="52" cm="1">
        <f t="array" aca="1" ref="L39" ca="1">IF(OR(is_header,is_empty),"",INDEX('Budget Planning'!$E:$FA,row_id,MATCH(IF(selected_period="Total Year",selected_year,DATE(selected_year,selected_period,1)),'Budget Planning'!$E$9:$FA$9,0)))</f>
        <v>50000</v>
      </c>
      <c r="M39" s="2" cm="1">
        <f t="array" ref="M39">IF(is_cat,IF(header_row_id=Income_header_row, MATCH(income_min_row,$C:$C,0),IF(header_row_id=expenses_header_row, MATCH(expenses_min_row,$C:$C,0),IF(header_row_id=savings_header_row, MATCH(savings_min_row,$C:$C,0),""))),"")</f>
        <v>33</v>
      </c>
      <c r="N39" s="3" cm="1">
        <f t="array" ref="N39">IF(is_cat,IF(header_row_id=Income_header_row, MATCH(income_max_row,$C:$C,0),IF(header_row_id=expenses_header_row, MATCH(expenses_max_row,$C:$C,0),IF(header_row_id=savings_header_row, MATCH(savings_max_row,$C:$C,0),""))),"")</f>
        <v>41</v>
      </c>
      <c r="O39" s="2" t="str">
        <f t="shared" si="3"/>
        <v>$K$33:$K$41</v>
      </c>
      <c r="P39">
        <f t="shared" ca="1" si="4"/>
        <v>2</v>
      </c>
      <c r="Q39" t="str">
        <f t="shared" si="5"/>
        <v>$L$33:$L$41</v>
      </c>
      <c r="R39" s="3">
        <f t="shared" ca="1" si="6"/>
        <v>6</v>
      </c>
      <c r="S39" s="2">
        <f t="shared" ca="1" si="7"/>
        <v>26</v>
      </c>
      <c r="T39" t="str">
        <f t="shared" si="8"/>
        <v>$S$33:$S$41</v>
      </c>
      <c r="U39">
        <f t="shared" ca="1" si="9"/>
        <v>2</v>
      </c>
      <c r="V39" t="str">
        <f t="shared" si="10"/>
        <v>$U$33:$U$39</v>
      </c>
      <c r="W39" s="3">
        <f t="shared" ca="1" si="11"/>
        <v>2</v>
      </c>
      <c r="X39" s="54">
        <f t="shared" ca="1" si="12"/>
        <v>45</v>
      </c>
      <c r="Y39" s="55" t="str">
        <f t="shared" ca="1" si="13"/>
        <v>Vietnam Trip Fund</v>
      </c>
      <c r="Z39" s="58">
        <f t="shared" ca="1" si="14"/>
        <v>0</v>
      </c>
      <c r="AA39" s="58">
        <f t="shared" ca="1" si="15"/>
        <v>90000</v>
      </c>
      <c r="AB39" s="57">
        <f t="shared" ca="1" si="16"/>
        <v>0</v>
      </c>
      <c r="AC39" s="58">
        <f t="shared" ca="1" si="17"/>
        <v>90000</v>
      </c>
      <c r="AD39" s="58">
        <f t="shared" ca="1" si="18"/>
        <v>0</v>
      </c>
    </row>
    <row r="40" spans="3:44" x14ac:dyDescent="0.25">
      <c r="C40" s="2" cm="1">
        <f t="array" ref="C40">IF(C39=-1,-1, IF(C39&lt;income_max_row,C39+1,IF(C39=income_max_row,income_total_row,IF(C39=income_total_row,"/1", IF(C39="/1",expenses_header_row,IF(C39&lt;expenses_max_row,C39+1,IF(C39=expenses_max_row,expenses_total_row,IF(C39=expenses_total_row,"/2",IF(C39="/2",savings_header_row,IF(C39&lt;savings_max_row,C39+1,IF(C39=savings_max_row,savings_total_row,-1)))))))))))</f>
        <v>51</v>
      </c>
      <c r="D40" s="3">
        <f t="shared" si="0"/>
        <v>43</v>
      </c>
      <c r="E40" s="2" cm="1">
        <f t="array" ref="E40">1*OR(row_id=Income_header_row, row_id=expenses_header_row, row_id=savings_header_row)</f>
        <v>0</v>
      </c>
      <c r="F40">
        <f t="shared" si="1"/>
        <v>1</v>
      </c>
      <c r="G40" cm="1">
        <f t="array" ref="G40">1*OR(row_id=income_total_row, row_id=expenses_total_row, row_id=savings_total_row)</f>
        <v>0</v>
      </c>
      <c r="H40" s="3">
        <f t="shared" si="2"/>
        <v>0</v>
      </c>
      <c r="I40" s="2" t="str" cm="1">
        <f t="array" ref="I40">IFERROR(INDEX('Budget Planning'!$C:$C,header_row_id),"")</f>
        <v xml:space="preserve"> Savings</v>
      </c>
      <c r="J40" t="str" cm="1">
        <f t="array" ref="J40">IFERROR(INDEX('Budget Planning'!$C:$C,row_id),"")</f>
        <v>Sri Lanka Trip Fund</v>
      </c>
      <c r="K40" s="44" cm="1">
        <f t="array" aca="1" ref="K40" ca="1">IF(OR(is_header,is_empty),"",IF(is_total,IF(selected_period="Total Year",SUMPRODUCT(Tracking[Amount],--(TRIM(Tracking[Type])=TRIM(type)),--(Tracking[Date]&gt;=DATE(selected_year,1,1)),--(Tracking[Date]&lt;DATE(selected_year+1,1,1))),SUMPRODUCT(Tracking[Amount],--(TRIM(Tracking[Type])=TRIM(type)),--(Tracking[Date]&gt;=DATE(selected_year,1,1)),--(Tracking[Date]&lt;DATE(selected_year+1,1,1)),--(MONTH(Tracking[Date])=selected_period))),IF(selected_period="Total Year",SUMPRODUCT(Tracking[Amount],--(TRIM(Tracking[Type])=TRIM(type)),--(TRIM(Tracking[Categories])=TRIM(item)),--(Tracking[Date]&gt;=DATE(selected_year,1,1)),--(Tracking[Date]&lt;DATE(selected_year+1,1,1))),SUMPRODUCT(Tracking[Amount],--(TRIM(Tracking[Type])=TRIM(type)),--(TRIM(Tracking[Categories])=TRIM(item)),--(Tracking[Date]&gt;=DATE(selected_year,1,1)),--(Tracking[Date]&lt;DATE(selected_year+1,1,1)),--(MONTH(Tracking[Date])=selected_period)))))</f>
        <v>0</v>
      </c>
      <c r="L40" s="52" cm="1">
        <f t="array" aca="1" ref="L40" ca="1">IF(OR(is_header,is_empty),"",INDEX('Budget Planning'!$E:$FA,row_id,MATCH(IF(selected_period="Total Year",selected_year,DATE(selected_year,selected_period,1)),'Budget Planning'!$E$9:$FA$9,0)))</f>
        <v>65000</v>
      </c>
      <c r="M40" s="2" cm="1">
        <f t="array" ref="M40">IF(is_cat,IF(header_row_id=Income_header_row, MATCH(income_min_row,$C:$C,0),IF(header_row_id=expenses_header_row, MATCH(expenses_min_row,$C:$C,0),IF(header_row_id=savings_header_row, MATCH(savings_min_row,$C:$C,0),""))),"")</f>
        <v>33</v>
      </c>
      <c r="N40" s="3" cm="1">
        <f t="array" ref="N40">IF(is_cat,IF(header_row_id=Income_header_row, MATCH(income_max_row,$C:$C,0),IF(header_row_id=expenses_header_row, MATCH(expenses_max_row,$C:$C,0),IF(header_row_id=savings_header_row, MATCH(savings_max_row,$C:$C,0),""))),"")</f>
        <v>41</v>
      </c>
      <c r="O40" s="2" t="str">
        <f t="shared" si="3"/>
        <v>$K$33:$K$41</v>
      </c>
      <c r="P40">
        <f t="shared" ca="1" si="4"/>
        <v>6</v>
      </c>
      <c r="Q40" t="str">
        <f t="shared" si="5"/>
        <v>$L$33:$L$41</v>
      </c>
      <c r="R40" s="3">
        <f t="shared" ca="1" si="6"/>
        <v>5</v>
      </c>
      <c r="S40" s="2">
        <f t="shared" ca="1" si="7"/>
        <v>65</v>
      </c>
      <c r="T40" t="str">
        <f t="shared" si="8"/>
        <v>$S$33:$S$41</v>
      </c>
      <c r="U40">
        <f t="shared" ca="1" si="9"/>
        <v>8</v>
      </c>
      <c r="V40" t="str">
        <f t="shared" si="10"/>
        <v>$U$33:$U$40</v>
      </c>
      <c r="W40" s="3">
        <f t="shared" ca="1" si="11"/>
        <v>8</v>
      </c>
      <c r="X40" s="54">
        <f t="shared" ca="1" si="12"/>
        <v>51</v>
      </c>
      <c r="Y40" s="55" t="str">
        <f t="shared" ca="1" si="13"/>
        <v>Sri Lanka Trip Fund</v>
      </c>
      <c r="Z40" s="58">
        <f t="shared" ca="1" si="14"/>
        <v>0</v>
      </c>
      <c r="AA40" s="58">
        <f t="shared" ca="1" si="15"/>
        <v>65000</v>
      </c>
      <c r="AB40" s="57">
        <f t="shared" ca="1" si="16"/>
        <v>0</v>
      </c>
      <c r="AC40" s="58">
        <f t="shared" ca="1" si="17"/>
        <v>65000</v>
      </c>
      <c r="AD40" s="58">
        <f t="shared" ca="1" si="18"/>
        <v>0</v>
      </c>
    </row>
    <row r="41" spans="3:44" x14ac:dyDescent="0.25">
      <c r="C41" s="2" cm="1">
        <f t="array" ref="C41">IF(C40=-1,-1, IF(C40&lt;income_max_row,C40+1,IF(C40=income_max_row,income_total_row,IF(C40=income_total_row,"/1", IF(C40="/1",expenses_header_row,IF(C40&lt;expenses_max_row,C40+1,IF(C40=expenses_max_row,expenses_total_row,IF(C40=expenses_total_row,"/2",IF(C40="/2",savings_header_row,IF(C40&lt;savings_max_row,C40+1,IF(C40=savings_max_row,savings_total_row,-1)))))))))))</f>
        <v>52</v>
      </c>
      <c r="D41" s="3">
        <f t="shared" si="0"/>
        <v>43</v>
      </c>
      <c r="E41" s="2" cm="1">
        <f t="array" ref="E41">1*OR(row_id=Income_header_row, row_id=expenses_header_row, row_id=savings_header_row)</f>
        <v>0</v>
      </c>
      <c r="F41">
        <f t="shared" si="1"/>
        <v>1</v>
      </c>
      <c r="G41" cm="1">
        <f t="array" ref="G41">1*OR(row_id=income_total_row, row_id=expenses_total_row, row_id=savings_total_row)</f>
        <v>0</v>
      </c>
      <c r="H41" s="3">
        <f t="shared" si="2"/>
        <v>0</v>
      </c>
      <c r="I41" s="2" t="str" cm="1">
        <f t="array" ref="I41">IFERROR(INDEX('Budget Planning'!$C:$C,header_row_id),"")</f>
        <v xml:space="preserve"> Savings</v>
      </c>
      <c r="J41" t="str" cm="1">
        <f t="array" ref="J41">IFERROR(INDEX('Budget Planning'!$C:$C,row_id),"")</f>
        <v>Vietnam Trip Fund</v>
      </c>
      <c r="K41" s="44" cm="1">
        <f t="array" aca="1" ref="K41" ca="1">IF(OR(is_header,is_empty),"",IF(is_total,IF(selected_period="Total Year",SUMPRODUCT(Tracking[Amount],--(TRIM(Tracking[Type])=TRIM(type)),--(Tracking[Date]&gt;=DATE(selected_year,1,1)),--(Tracking[Date]&lt;DATE(selected_year+1,1,1))),SUMPRODUCT(Tracking[Amount],--(TRIM(Tracking[Type])=TRIM(type)),--(Tracking[Date]&gt;=DATE(selected_year,1,1)),--(Tracking[Date]&lt;DATE(selected_year+1,1,1)),--(MONTH(Tracking[Date])=selected_period))),IF(selected_period="Total Year",SUMPRODUCT(Tracking[Amount],--(TRIM(Tracking[Type])=TRIM(type)),--(TRIM(Tracking[Categories])=TRIM(item)),--(Tracking[Date]&gt;=DATE(selected_year,1,1)),--(Tracking[Date]&lt;DATE(selected_year+1,1,1))),SUMPRODUCT(Tracking[Amount],--(TRIM(Tracking[Type])=TRIM(type)),--(TRIM(Tracking[Categories])=TRIM(item)),--(Tracking[Date]&gt;=DATE(selected_year,1,1)),--(Tracking[Date]&lt;DATE(selected_year+1,1,1)),--(MONTH(Tracking[Date])=selected_period)))))</f>
        <v>0</v>
      </c>
      <c r="L41" s="52" cm="1">
        <f t="array" aca="1" ref="L41" ca="1">IF(OR(is_header,is_empty),"",INDEX('Budget Planning'!$E:$FA,row_id,MATCH(IF(selected_period="Total Year",selected_year,DATE(selected_year,selected_period,1)),'Budget Planning'!$E$9:$FA$9,0)))</f>
        <v>90000</v>
      </c>
      <c r="M41" s="2" cm="1">
        <f t="array" ref="M41">IF(is_cat,IF(header_row_id=Income_header_row, MATCH(income_min_row,$C:$C,0),IF(header_row_id=expenses_header_row, MATCH(expenses_min_row,$C:$C,0),IF(header_row_id=savings_header_row, MATCH(savings_min_row,$C:$C,0),""))),"")</f>
        <v>33</v>
      </c>
      <c r="N41" s="3" cm="1">
        <f t="array" ref="N41">IF(is_cat,IF(header_row_id=Income_header_row, MATCH(income_max_row,$C:$C,0),IF(header_row_id=expenses_header_row, MATCH(expenses_max_row,$C:$C,0),IF(header_row_id=savings_header_row, MATCH(savings_max_row,$C:$C,0),""))),"")</f>
        <v>41</v>
      </c>
      <c r="O41" s="2" t="str">
        <f t="shared" si="3"/>
        <v>$K$33:$K$41</v>
      </c>
      <c r="P41">
        <f t="shared" ca="1" si="4"/>
        <v>6</v>
      </c>
      <c r="Q41" t="str">
        <f t="shared" si="5"/>
        <v>$L$33:$L$41</v>
      </c>
      <c r="R41" s="3">
        <f t="shared" ca="1" si="6"/>
        <v>4</v>
      </c>
      <c r="S41" s="2">
        <f t="shared" ca="1" si="7"/>
        <v>64</v>
      </c>
      <c r="T41" t="str">
        <f t="shared" si="8"/>
        <v>$S$33:$S$41</v>
      </c>
      <c r="U41">
        <f t="shared" ca="1" si="9"/>
        <v>7</v>
      </c>
      <c r="V41" t="str">
        <f t="shared" si="10"/>
        <v>$U$33:$U$41</v>
      </c>
      <c r="W41" s="3">
        <f t="shared" ca="1" si="11"/>
        <v>7</v>
      </c>
      <c r="X41" s="54">
        <f t="shared" ca="1" si="12"/>
        <v>50</v>
      </c>
      <c r="Y41" s="55" t="str">
        <f t="shared" ca="1" si="13"/>
        <v>Crpto</v>
      </c>
      <c r="Z41" s="58">
        <f t="shared" ca="1" si="14"/>
        <v>0</v>
      </c>
      <c r="AA41" s="58">
        <f t="shared" ca="1" si="15"/>
        <v>41359</v>
      </c>
      <c r="AB41" s="57">
        <f t="shared" ca="1" si="16"/>
        <v>0</v>
      </c>
      <c r="AC41" s="58">
        <f t="shared" ca="1" si="17"/>
        <v>41359</v>
      </c>
      <c r="AD41" s="58">
        <f t="shared" ca="1" si="18"/>
        <v>0</v>
      </c>
    </row>
    <row r="42" spans="3:44" x14ac:dyDescent="0.25">
      <c r="C42" s="2" cm="1">
        <f t="array" ref="C42">IF(C41=-1,-1, IF(C41&lt;income_max_row,C41+1,IF(C41=income_max_row,income_total_row,IF(C41=income_total_row,"/1", IF(C41="/1",expenses_header_row,IF(C41&lt;expenses_max_row,C41+1,IF(C41=expenses_max_row,expenses_total_row,IF(C41=expenses_total_row,"/2",IF(C41="/2",savings_header_row,IF(C41&lt;savings_max_row,C41+1,IF(C41=savings_max_row,savings_total_row,-1)))))))))))</f>
        <v>58</v>
      </c>
      <c r="D42" s="3">
        <f t="shared" si="0"/>
        <v>43</v>
      </c>
      <c r="E42" s="2" cm="1">
        <f t="array" ref="E42">1*OR(row_id=Income_header_row, row_id=expenses_header_row, row_id=savings_header_row)</f>
        <v>0</v>
      </c>
      <c r="F42">
        <f t="shared" si="1"/>
        <v>0</v>
      </c>
      <c r="G42" cm="1">
        <f t="array" ref="G42">1*OR(row_id=income_total_row, row_id=expenses_total_row, row_id=savings_total_row)</f>
        <v>1</v>
      </c>
      <c r="H42" s="3">
        <f t="shared" si="2"/>
        <v>0</v>
      </c>
      <c r="I42" s="2" t="str" cm="1">
        <f t="array" ref="I42">IFERROR(INDEX('Budget Planning'!$C:$C,header_row_id),"")</f>
        <v xml:space="preserve"> Savings</v>
      </c>
      <c r="J42" t="str" cm="1">
        <f t="array" ref="J42">IFERROR(INDEX('Budget Planning'!$C:$C,row_id),"")</f>
        <v>Total</v>
      </c>
      <c r="K42" s="44" cm="1">
        <f t="array" aca="1" ref="K42" ca="1">IF(OR(is_header,is_empty),"",IF(is_total,IF(selected_period="Total Year",SUMPRODUCT(Tracking[Amount],--(TRIM(Tracking[Type])=TRIM(type)),--(Tracking[Date]&gt;=DATE(selected_year,1,1)),--(Tracking[Date]&lt;DATE(selected_year+1,1,1))),SUMPRODUCT(Tracking[Amount],--(TRIM(Tracking[Type])=TRIM(type)),--(Tracking[Date]&gt;=DATE(selected_year,1,1)),--(Tracking[Date]&lt;DATE(selected_year+1,1,1)),--(MONTH(Tracking[Date])=selected_period))),IF(selected_period="Total Year",SUMPRODUCT(Tracking[Amount],--(TRIM(Tracking[Type])=TRIM(type)),--(TRIM(Tracking[Categories])=TRIM(item)),--(Tracking[Date]&gt;=DATE(selected_year,1,1)),--(Tracking[Date]&lt;DATE(selected_year+1,1,1))),SUMPRODUCT(Tracking[Amount],--(TRIM(Tracking[Type])=TRIM(type)),--(TRIM(Tracking[Categories])=TRIM(item)),--(Tracking[Date]&gt;=DATE(selected_year,1,1)),--(Tracking[Date]&lt;DATE(selected_year+1,1,1)),--(MONTH(Tracking[Date])=selected_period)))))</f>
        <v>111686</v>
      </c>
      <c r="L42" s="52" cm="1">
        <f t="array" aca="1" ref="L42" ca="1">IF(OR(is_header,is_empty),"",INDEX('Budget Planning'!$E:$FA,row_id,MATCH(IF(selected_period="Total Year",selected_year,DATE(selected_year,selected_period,1)),'Budget Planning'!$E$9:$FA$9,0)))</f>
        <v>800045</v>
      </c>
      <c r="M42" s="2" t="str" cm="1">
        <f t="array" ref="M42">IF(is_cat,IF(header_row_id=Income_header_row, MATCH(income_min_row,$C:$C,0),IF(header_row_id=expenses_header_row, MATCH(expenses_min_row,$C:$C,0),IF(header_row_id=savings_header_row, MATCH(savings_min_row,$C:$C,0),""))),"")</f>
        <v/>
      </c>
      <c r="N42" s="3" t="str" cm="1">
        <f t="array" ref="N42">IF(is_cat,IF(header_row_id=Income_header_row, MATCH(income_max_row,$C:$C,0),IF(header_row_id=expenses_header_row, MATCH(expenses_max_row,$C:$C,0),IF(header_row_id=savings_header_row, MATCH(savings_max_row,$C:$C,0),""))),"")</f>
        <v/>
      </c>
      <c r="O42" s="2" t="str">
        <f t="shared" si="3"/>
        <v/>
      </c>
      <c r="P42" t="str">
        <f t="shared" ca="1" si="4"/>
        <v/>
      </c>
      <c r="Q42" t="str">
        <f t="shared" si="5"/>
        <v/>
      </c>
      <c r="R42" s="3" t="str">
        <f t="shared" ca="1" si="6"/>
        <v/>
      </c>
      <c r="S42" s="2" t="str">
        <f t="shared" si="7"/>
        <v/>
      </c>
      <c r="T42" t="str">
        <f t="shared" si="8"/>
        <v/>
      </c>
      <c r="U42" t="str">
        <f t="shared" ca="1" si="9"/>
        <v/>
      </c>
      <c r="V42" t="str">
        <f t="shared" si="10"/>
        <v/>
      </c>
      <c r="W42" s="3" t="str">
        <f t="shared" ca="1" si="11"/>
        <v/>
      </c>
      <c r="X42" s="54">
        <f t="shared" si="12"/>
        <v>58</v>
      </c>
      <c r="Y42" s="55" t="str">
        <f t="shared" ca="1" si="13"/>
        <v>Total</v>
      </c>
      <c r="Z42" s="58">
        <f t="shared" ca="1" si="14"/>
        <v>111686</v>
      </c>
      <c r="AA42" s="58">
        <f t="shared" ca="1" si="15"/>
        <v>800045</v>
      </c>
      <c r="AB42" s="57">
        <f t="shared" ca="1" si="16"/>
        <v>0.13959964751982701</v>
      </c>
      <c r="AC42" s="58">
        <f t="shared" ca="1" si="17"/>
        <v>688359</v>
      </c>
      <c r="AD42" s="58">
        <f t="shared" ca="1" si="18"/>
        <v>0</v>
      </c>
    </row>
    <row r="43" spans="3:44" x14ac:dyDescent="0.25">
      <c r="C43" s="2" cm="1">
        <f t="array" ref="C43">IF(C42=-1,-1, IF(C42&lt;income_max_row,C42+1,IF(C42=income_max_row,income_total_row,IF(C42=income_total_row,"/1", IF(C42="/1",expenses_header_row,IF(C42&lt;expenses_max_row,C42+1,IF(C42=expenses_max_row,expenses_total_row,IF(C42=expenses_total_row,"/2",IF(C42="/2",savings_header_row,IF(C42&lt;savings_max_row,C42+1,IF(C42=savings_max_row,savings_total_row,-1)))))))))))</f>
        <v>-1</v>
      </c>
      <c r="D43" s="3">
        <f t="shared" si="0"/>
        <v>-1</v>
      </c>
      <c r="E43" s="2" cm="1">
        <f t="array" ref="E43">1*OR(row_id=Income_header_row, row_id=expenses_header_row, row_id=savings_header_row)</f>
        <v>0</v>
      </c>
      <c r="F43">
        <f t="shared" si="1"/>
        <v>0</v>
      </c>
      <c r="G43" cm="1">
        <f t="array" ref="G43">1*OR(row_id=income_total_row, row_id=expenses_total_row, row_id=savings_total_row)</f>
        <v>0</v>
      </c>
      <c r="H43" s="3">
        <f t="shared" si="2"/>
        <v>1</v>
      </c>
      <c r="I43" s="2" t="str" cm="1">
        <f t="array" ref="I43">IFERROR(INDEX('Budget Planning'!$C:$C,header_row_id),"")</f>
        <v/>
      </c>
      <c r="J43" t="str" cm="1">
        <f t="array" ref="J43">IFERROR(INDEX('Budget Planning'!$C:$C,row_id),"")</f>
        <v/>
      </c>
      <c r="K43" s="44" t="str" cm="1">
        <f t="array" ref="K43">IF(OR(is_header,is_empty),"",IF(is_total,IF(selected_period="Total Year",SUMPRODUCT(Tracking[Amount],--(TRIM(Tracking[Type])=TRIM(type)),--(Tracking[Date]&gt;=DATE(selected_year,1,1)),--(Tracking[Date]&lt;DATE(selected_year+1,1,1))),SUMPRODUCT(Tracking[Amount],--(TRIM(Tracking[Type])=TRIM(type)),--(Tracking[Date]&gt;=DATE(selected_year,1,1)),--(Tracking[Date]&lt;DATE(selected_year+1,1,1)),--(MONTH(Tracking[Date])=selected_period))),IF(selected_period="Total Year",SUMPRODUCT(Tracking[Amount],--(TRIM(Tracking[Type])=TRIM(type)),--(TRIM(Tracking[Categories])=TRIM(item)),--(Tracking[Date]&gt;=DATE(selected_year,1,1)),--(Tracking[Date]&lt;DATE(selected_year+1,1,1))),SUMPRODUCT(Tracking[Amount],--(TRIM(Tracking[Type])=TRIM(type)),--(TRIM(Tracking[Categories])=TRIM(item)),--(Tracking[Date]&gt;=DATE(selected_year,1,1)),--(Tracking[Date]&lt;DATE(selected_year+1,1,1)),--(MONTH(Tracking[Date])=selected_period)))))</f>
        <v/>
      </c>
      <c r="L43" s="52" t="str" cm="1">
        <f t="array" ref="L43">IF(OR(is_header,is_empty),"",INDEX('Budget Planning'!$E:$FA,row_id,MATCH(IF(selected_period="Total Year",selected_year,DATE(selected_year,selected_period,1)),'Budget Planning'!$E$9:$FA$9,0)))</f>
        <v/>
      </c>
      <c r="M43" s="2" t="str" cm="1">
        <f t="array" ref="M43">IF(is_cat,IF(header_row_id=Income_header_row, MATCH(income_min_row,$C:$C,0),IF(header_row_id=expenses_header_row, MATCH(expenses_min_row,$C:$C,0),IF(header_row_id=savings_header_row, MATCH(savings_min_row,$C:$C,0),""))),"")</f>
        <v/>
      </c>
      <c r="N43" s="3" t="str" cm="1">
        <f t="array" ref="N43">IF(is_cat,IF(header_row_id=Income_header_row, MATCH(income_max_row,$C:$C,0),IF(header_row_id=expenses_header_row, MATCH(expenses_max_row,$C:$C,0),IF(header_row_id=savings_header_row, MATCH(savings_max_row,$C:$C,0),""))),"")</f>
        <v/>
      </c>
      <c r="O43" s="2" t="str">
        <f t="shared" si="3"/>
        <v/>
      </c>
      <c r="P43" t="str">
        <f t="shared" ca="1" si="4"/>
        <v/>
      </c>
      <c r="Q43" t="str">
        <f t="shared" si="5"/>
        <v/>
      </c>
      <c r="R43" s="3" t="str">
        <f t="shared" ca="1" si="6"/>
        <v/>
      </c>
      <c r="S43" s="2" t="str">
        <f t="shared" si="7"/>
        <v/>
      </c>
      <c r="T43" t="str">
        <f t="shared" si="8"/>
        <v/>
      </c>
      <c r="U43" t="str">
        <f t="shared" ca="1" si="9"/>
        <v/>
      </c>
      <c r="V43" t="str">
        <f t="shared" si="10"/>
        <v/>
      </c>
      <c r="W43" s="3" t="str">
        <f t="shared" ca="1" si="11"/>
        <v/>
      </c>
      <c r="X43" s="54">
        <f t="shared" si="12"/>
        <v>-1</v>
      </c>
      <c r="Y43" s="55" t="str">
        <f t="shared" si="13"/>
        <v/>
      </c>
      <c r="Z43" s="58" t="str">
        <f t="shared" si="14"/>
        <v/>
      </c>
      <c r="AA43" s="58" t="str">
        <f t="shared" si="15"/>
        <v/>
      </c>
      <c r="AB43" s="57" t="str">
        <f t="shared" si="16"/>
        <v/>
      </c>
      <c r="AC43" s="58" t="str">
        <f t="shared" si="17"/>
        <v/>
      </c>
      <c r="AD43" s="58" t="str">
        <f t="shared" si="18"/>
        <v/>
      </c>
    </row>
    <row r="44" spans="3:44" x14ac:dyDescent="0.25">
      <c r="C44" s="2" cm="1">
        <f t="array" ref="C44">IF(C43=-1,-1, IF(C43&lt;income_max_row,C43+1,IF(C43=income_max_row,income_total_row,IF(C43=income_total_row,"/1", IF(C43="/1",expenses_header_row,IF(C43&lt;expenses_max_row,C43+1,IF(C43=expenses_max_row,expenses_total_row,IF(C43=expenses_total_row,"/2",IF(C43="/2",savings_header_row,IF(C43&lt;savings_max_row,C43+1,IF(C43=savings_max_row,savings_total_row,-1)))))))))))</f>
        <v>-1</v>
      </c>
      <c r="D44" s="3">
        <f t="shared" si="0"/>
        <v>-1</v>
      </c>
      <c r="E44" s="2" cm="1">
        <f t="array" ref="E44">1*OR(row_id=Income_header_row, row_id=expenses_header_row, row_id=savings_header_row)</f>
        <v>0</v>
      </c>
      <c r="F44">
        <f t="shared" si="1"/>
        <v>0</v>
      </c>
      <c r="G44" cm="1">
        <f t="array" ref="G44">1*OR(row_id=income_total_row, row_id=expenses_total_row, row_id=savings_total_row)</f>
        <v>0</v>
      </c>
      <c r="H44" s="3">
        <f t="shared" si="2"/>
        <v>1</v>
      </c>
      <c r="I44" s="2" t="str" cm="1">
        <f t="array" ref="I44">IFERROR(INDEX('Budget Planning'!$C:$C,header_row_id),"")</f>
        <v/>
      </c>
      <c r="J44" t="str" cm="1">
        <f t="array" ref="J44">IFERROR(INDEX('Budget Planning'!$C:$C,row_id),"")</f>
        <v/>
      </c>
      <c r="K44" s="44" t="str" cm="1">
        <f t="array" ref="K44">IF(OR(is_header,is_empty),"",IF(is_total,IF(selected_period="Total Year",SUMPRODUCT(Tracking[Amount],--(TRIM(Tracking[Type])=TRIM(type)),--(Tracking[Date]&gt;=DATE(selected_year,1,1)),--(Tracking[Date]&lt;DATE(selected_year+1,1,1))),SUMPRODUCT(Tracking[Amount],--(TRIM(Tracking[Type])=TRIM(type)),--(Tracking[Date]&gt;=DATE(selected_year,1,1)),--(Tracking[Date]&lt;DATE(selected_year+1,1,1)),--(MONTH(Tracking[Date])=selected_period))),IF(selected_period="Total Year",SUMPRODUCT(Tracking[Amount],--(TRIM(Tracking[Type])=TRIM(type)),--(TRIM(Tracking[Categories])=TRIM(item)),--(Tracking[Date]&gt;=DATE(selected_year,1,1)),--(Tracking[Date]&lt;DATE(selected_year+1,1,1))),SUMPRODUCT(Tracking[Amount],--(TRIM(Tracking[Type])=TRIM(type)),--(TRIM(Tracking[Categories])=TRIM(item)),--(Tracking[Date]&gt;=DATE(selected_year,1,1)),--(Tracking[Date]&lt;DATE(selected_year+1,1,1)),--(MONTH(Tracking[Date])=selected_period)))))</f>
        <v/>
      </c>
      <c r="L44" s="52" t="str" cm="1">
        <f t="array" ref="L44">IF(OR(is_header,is_empty),"",INDEX('Budget Planning'!$E:$FA,row_id,MATCH(IF(selected_period="Total Year",selected_year,DATE(selected_year,selected_period,1)),'Budget Planning'!$E$9:$FA$9,0)))</f>
        <v/>
      </c>
      <c r="M44" s="2" t="str" cm="1">
        <f t="array" ref="M44">IF(is_cat,IF(header_row_id=Income_header_row, MATCH(income_min_row,$C:$C,0),IF(header_row_id=expenses_header_row, MATCH(expenses_min_row,$C:$C,0),IF(header_row_id=savings_header_row, MATCH(savings_min_row,$C:$C,0),""))),"")</f>
        <v/>
      </c>
      <c r="N44" s="3" t="str" cm="1">
        <f t="array" ref="N44">IF(is_cat,IF(header_row_id=Income_header_row, MATCH(income_max_row,$C:$C,0),IF(header_row_id=expenses_header_row, MATCH(expenses_max_row,$C:$C,0),IF(header_row_id=savings_header_row, MATCH(savings_max_row,$C:$C,0),""))),"")</f>
        <v/>
      </c>
      <c r="O44" s="2" t="str">
        <f t="shared" si="3"/>
        <v/>
      </c>
      <c r="P44" t="str">
        <f t="shared" ca="1" si="4"/>
        <v/>
      </c>
      <c r="Q44" t="str">
        <f t="shared" si="5"/>
        <v/>
      </c>
      <c r="R44" s="3" t="str">
        <f t="shared" ca="1" si="6"/>
        <v/>
      </c>
      <c r="S44" s="2" t="str">
        <f t="shared" si="7"/>
        <v/>
      </c>
      <c r="T44" t="str">
        <f t="shared" si="8"/>
        <v/>
      </c>
      <c r="U44" t="str">
        <f t="shared" ca="1" si="9"/>
        <v/>
      </c>
      <c r="V44" t="str">
        <f t="shared" si="10"/>
        <v/>
      </c>
      <c r="W44" s="3" t="str">
        <f t="shared" ca="1" si="11"/>
        <v/>
      </c>
      <c r="X44" s="54">
        <f t="shared" si="12"/>
        <v>-1</v>
      </c>
      <c r="Y44" s="55" t="str">
        <f t="shared" si="13"/>
        <v/>
      </c>
      <c r="Z44" s="58" t="str">
        <f t="shared" si="14"/>
        <v/>
      </c>
      <c r="AA44" s="58" t="str">
        <f t="shared" si="15"/>
        <v/>
      </c>
      <c r="AB44" s="57" t="str">
        <f t="shared" si="16"/>
        <v/>
      </c>
      <c r="AC44" s="58" t="str">
        <f t="shared" si="17"/>
        <v/>
      </c>
      <c r="AD44" s="58" t="str">
        <f t="shared" si="18"/>
        <v/>
      </c>
    </row>
    <row r="45" spans="3:44" x14ac:dyDescent="0.25">
      <c r="C45" s="2" cm="1">
        <f t="array" ref="C45">IF(C44=-1,-1, IF(C44&lt;income_max_row,C44+1,IF(C44=income_max_row,income_total_row,IF(C44=income_total_row,"/1", IF(C44="/1",expenses_header_row,IF(C44&lt;expenses_max_row,C44+1,IF(C44=expenses_max_row,expenses_total_row,IF(C44=expenses_total_row,"/2",IF(C44="/2",savings_header_row,IF(C44&lt;savings_max_row,C44+1,IF(C44=savings_max_row,savings_total_row,-1)))))))))))</f>
        <v>-1</v>
      </c>
      <c r="D45" s="3">
        <f t="shared" si="0"/>
        <v>-1</v>
      </c>
      <c r="E45" s="2" cm="1">
        <f t="array" ref="E45">1*OR(row_id=Income_header_row, row_id=expenses_header_row, row_id=savings_header_row)</f>
        <v>0</v>
      </c>
      <c r="F45">
        <f t="shared" si="1"/>
        <v>0</v>
      </c>
      <c r="G45" cm="1">
        <f t="array" ref="G45">1*OR(row_id=income_total_row, row_id=expenses_total_row, row_id=savings_total_row)</f>
        <v>0</v>
      </c>
      <c r="H45" s="3">
        <f t="shared" si="2"/>
        <v>1</v>
      </c>
      <c r="I45" s="2" t="str" cm="1">
        <f t="array" ref="I45">IFERROR(INDEX('Budget Planning'!$C:$C,header_row_id),"")</f>
        <v/>
      </c>
      <c r="J45" t="str" cm="1">
        <f t="array" ref="J45">IFERROR(INDEX('Budget Planning'!$C:$C,row_id),"")</f>
        <v/>
      </c>
      <c r="K45" s="44" t="str" cm="1">
        <f t="array" ref="K45">IF(OR(is_header,is_empty),"",IF(is_total,IF(selected_period="Total Year",SUMPRODUCT(Tracking[Amount],--(TRIM(Tracking[Type])=TRIM(type)),--(Tracking[Date]&gt;=DATE(selected_year,1,1)),--(Tracking[Date]&lt;DATE(selected_year+1,1,1))),SUMPRODUCT(Tracking[Amount],--(TRIM(Tracking[Type])=TRIM(type)),--(Tracking[Date]&gt;=DATE(selected_year,1,1)),--(Tracking[Date]&lt;DATE(selected_year+1,1,1)),--(MONTH(Tracking[Date])=selected_period))),IF(selected_period="Total Year",SUMPRODUCT(Tracking[Amount],--(TRIM(Tracking[Type])=TRIM(type)),--(TRIM(Tracking[Categories])=TRIM(item)),--(Tracking[Date]&gt;=DATE(selected_year,1,1)),--(Tracking[Date]&lt;DATE(selected_year+1,1,1))),SUMPRODUCT(Tracking[Amount],--(TRIM(Tracking[Type])=TRIM(type)),--(TRIM(Tracking[Categories])=TRIM(item)),--(Tracking[Date]&gt;=DATE(selected_year,1,1)),--(Tracking[Date]&lt;DATE(selected_year+1,1,1)),--(MONTH(Tracking[Date])=selected_period)))))</f>
        <v/>
      </c>
      <c r="L45" s="52" t="str" cm="1">
        <f t="array" ref="L45">IF(OR(is_header,is_empty),"",INDEX('Budget Planning'!$E:$FA,row_id,MATCH(IF(selected_period="Total Year",selected_year,DATE(selected_year,selected_period,1)),'Budget Planning'!$E$9:$FA$9,0)))</f>
        <v/>
      </c>
      <c r="M45" s="2" t="str" cm="1">
        <f t="array" ref="M45">IF(is_cat,IF(header_row_id=Income_header_row, MATCH(income_min_row,$C:$C,0),IF(header_row_id=expenses_header_row, MATCH(expenses_min_row,$C:$C,0),IF(header_row_id=savings_header_row, MATCH(savings_min_row,$C:$C,0),""))),"")</f>
        <v/>
      </c>
      <c r="N45" s="3" t="str" cm="1">
        <f t="array" ref="N45">IF(is_cat,IF(header_row_id=Income_header_row, MATCH(income_max_row,$C:$C,0),IF(header_row_id=expenses_header_row, MATCH(expenses_max_row,$C:$C,0),IF(header_row_id=savings_header_row, MATCH(savings_max_row,$C:$C,0),""))),"")</f>
        <v/>
      </c>
      <c r="O45" s="2" t="str">
        <f t="shared" si="3"/>
        <v/>
      </c>
      <c r="P45" t="str">
        <f t="shared" ca="1" si="4"/>
        <v/>
      </c>
      <c r="Q45" t="str">
        <f t="shared" si="5"/>
        <v/>
      </c>
      <c r="R45" s="3" t="str">
        <f t="shared" ca="1" si="6"/>
        <v/>
      </c>
      <c r="S45" s="2" t="str">
        <f t="shared" si="7"/>
        <v/>
      </c>
      <c r="T45" t="str">
        <f t="shared" si="8"/>
        <v/>
      </c>
      <c r="U45" t="str">
        <f t="shared" ca="1" si="9"/>
        <v/>
      </c>
      <c r="V45" t="str">
        <f t="shared" si="10"/>
        <v/>
      </c>
      <c r="W45" s="3" t="str">
        <f t="shared" ca="1" si="11"/>
        <v/>
      </c>
      <c r="X45" s="54">
        <f t="shared" si="12"/>
        <v>-1</v>
      </c>
      <c r="Y45" s="55" t="str">
        <f t="shared" si="13"/>
        <v/>
      </c>
      <c r="Z45" s="58" t="str">
        <f t="shared" si="14"/>
        <v/>
      </c>
      <c r="AA45" s="58" t="str">
        <f t="shared" si="15"/>
        <v/>
      </c>
      <c r="AB45" s="57" t="str">
        <f t="shared" si="16"/>
        <v/>
      </c>
      <c r="AC45" s="58" t="str">
        <f t="shared" si="17"/>
        <v/>
      </c>
      <c r="AD45" s="58" t="str">
        <f t="shared" si="18"/>
        <v/>
      </c>
    </row>
    <row r="46" spans="3:44" x14ac:dyDescent="0.25">
      <c r="C46" s="2" cm="1">
        <f t="array" ref="C46">IF(C45=-1,-1, IF(C45&lt;income_max_row,C45+1,IF(C45=income_max_row,income_total_row,IF(C45=income_total_row,"/1", IF(C45="/1",expenses_header_row,IF(C45&lt;expenses_max_row,C45+1,IF(C45=expenses_max_row,expenses_total_row,IF(C45=expenses_total_row,"/2",IF(C45="/2",savings_header_row,IF(C45&lt;savings_max_row,C45+1,IF(C45=savings_max_row,savings_total_row,-1)))))))))))</f>
        <v>-1</v>
      </c>
      <c r="D46" s="3">
        <f t="shared" si="0"/>
        <v>-1</v>
      </c>
      <c r="E46" s="2" cm="1">
        <f t="array" ref="E46">1*OR(row_id=Income_header_row, row_id=expenses_header_row, row_id=savings_header_row)</f>
        <v>0</v>
      </c>
      <c r="F46">
        <f t="shared" si="1"/>
        <v>0</v>
      </c>
      <c r="G46" cm="1">
        <f t="array" ref="G46">1*OR(row_id=income_total_row, row_id=expenses_total_row, row_id=savings_total_row)</f>
        <v>0</v>
      </c>
      <c r="H46" s="3">
        <f t="shared" si="2"/>
        <v>1</v>
      </c>
      <c r="I46" s="2" t="str" cm="1">
        <f t="array" ref="I46">IFERROR(INDEX('Budget Planning'!$C:$C,header_row_id),"")</f>
        <v/>
      </c>
      <c r="J46" t="str" cm="1">
        <f t="array" ref="J46">IFERROR(INDEX('Budget Planning'!$C:$C,row_id),"")</f>
        <v/>
      </c>
      <c r="K46" s="44" t="str" cm="1">
        <f t="array" ref="K46">IF(OR(is_header,is_empty),"",IF(is_total,IF(selected_period="Total Year",SUMPRODUCT(Tracking[Amount],--(TRIM(Tracking[Type])=TRIM(type)),--(Tracking[Date]&gt;=DATE(selected_year,1,1)),--(Tracking[Date]&lt;DATE(selected_year+1,1,1))),SUMPRODUCT(Tracking[Amount],--(TRIM(Tracking[Type])=TRIM(type)),--(Tracking[Date]&gt;=DATE(selected_year,1,1)),--(Tracking[Date]&lt;DATE(selected_year+1,1,1)),--(MONTH(Tracking[Date])=selected_period))),IF(selected_period="Total Year",SUMPRODUCT(Tracking[Amount],--(TRIM(Tracking[Type])=TRIM(type)),--(TRIM(Tracking[Categories])=TRIM(item)),--(Tracking[Date]&gt;=DATE(selected_year,1,1)),--(Tracking[Date]&lt;DATE(selected_year+1,1,1))),SUMPRODUCT(Tracking[Amount],--(TRIM(Tracking[Type])=TRIM(type)),--(TRIM(Tracking[Categories])=TRIM(item)),--(Tracking[Date]&gt;=DATE(selected_year,1,1)),--(Tracking[Date]&lt;DATE(selected_year+1,1,1)),--(MONTH(Tracking[Date])=selected_period)))))</f>
        <v/>
      </c>
      <c r="L46" s="52" t="str" cm="1">
        <f t="array" ref="L46">IF(OR(is_header,is_empty),"",INDEX('Budget Planning'!$E:$FA,row_id,MATCH(IF(selected_period="Total Year",selected_year,DATE(selected_year,selected_period,1)),'Budget Planning'!$E$9:$FA$9,0)))</f>
        <v/>
      </c>
      <c r="M46" s="2" t="str" cm="1">
        <f t="array" ref="M46">IF(is_cat,IF(header_row_id=Income_header_row, MATCH(income_min_row,$C:$C,0),IF(header_row_id=expenses_header_row, MATCH(expenses_min_row,$C:$C,0),IF(header_row_id=savings_header_row, MATCH(savings_min_row,$C:$C,0),""))),"")</f>
        <v/>
      </c>
      <c r="N46" s="3" t="str" cm="1">
        <f t="array" ref="N46">IF(is_cat,IF(header_row_id=Income_header_row, MATCH(income_max_row,$C:$C,0),IF(header_row_id=expenses_header_row, MATCH(expenses_max_row,$C:$C,0),IF(header_row_id=savings_header_row, MATCH(savings_max_row,$C:$C,0),""))),"")</f>
        <v/>
      </c>
      <c r="O46" s="2" t="str">
        <f t="shared" si="3"/>
        <v/>
      </c>
      <c r="P46" t="str">
        <f t="shared" ca="1" si="4"/>
        <v/>
      </c>
      <c r="Q46" t="str">
        <f t="shared" si="5"/>
        <v/>
      </c>
      <c r="R46" s="3" t="str">
        <f t="shared" ca="1" si="6"/>
        <v/>
      </c>
      <c r="S46" s="2" t="str">
        <f t="shared" si="7"/>
        <v/>
      </c>
      <c r="T46" t="str">
        <f t="shared" si="8"/>
        <v/>
      </c>
      <c r="U46" t="str">
        <f t="shared" ca="1" si="9"/>
        <v/>
      </c>
      <c r="V46" t="str">
        <f t="shared" si="10"/>
        <v/>
      </c>
      <c r="W46" s="3" t="str">
        <f t="shared" ca="1" si="11"/>
        <v/>
      </c>
      <c r="X46" s="54">
        <f t="shared" si="12"/>
        <v>-1</v>
      </c>
      <c r="Y46" s="55" t="str">
        <f t="shared" si="13"/>
        <v/>
      </c>
      <c r="Z46" s="58" t="str">
        <f t="shared" si="14"/>
        <v/>
      </c>
      <c r="AA46" s="58" t="str">
        <f t="shared" si="15"/>
        <v/>
      </c>
      <c r="AB46" s="57" t="str">
        <f t="shared" si="16"/>
        <v/>
      </c>
      <c r="AC46" s="58" t="str">
        <f t="shared" si="17"/>
        <v/>
      </c>
      <c r="AD46" s="58" t="str">
        <f t="shared" si="18"/>
        <v/>
      </c>
    </row>
    <row r="47" spans="3:44" x14ac:dyDescent="0.25">
      <c r="C47" s="2" cm="1">
        <f t="array" ref="C47">IF(C46=-1,-1, IF(C46&lt;income_max_row,C46+1,IF(C46=income_max_row,income_total_row,IF(C46=income_total_row,"/1", IF(C46="/1",expenses_header_row,IF(C46&lt;expenses_max_row,C46+1,IF(C46=expenses_max_row,expenses_total_row,IF(C46=expenses_total_row,"/2",IF(C46="/2",savings_header_row,IF(C46&lt;savings_max_row,C46+1,IF(C46=savings_max_row,savings_total_row,-1)))))))))))</f>
        <v>-1</v>
      </c>
      <c r="D47" s="3">
        <f t="shared" si="0"/>
        <v>-1</v>
      </c>
      <c r="E47" s="2" cm="1">
        <f t="array" ref="E47">1*OR(row_id=Income_header_row, row_id=expenses_header_row, row_id=savings_header_row)</f>
        <v>0</v>
      </c>
      <c r="F47">
        <f t="shared" si="1"/>
        <v>0</v>
      </c>
      <c r="G47" cm="1">
        <f t="array" ref="G47">1*OR(row_id=income_total_row, row_id=expenses_total_row, row_id=savings_total_row)</f>
        <v>0</v>
      </c>
      <c r="H47" s="3">
        <f t="shared" si="2"/>
        <v>1</v>
      </c>
      <c r="I47" s="2" t="str" cm="1">
        <f t="array" ref="I47">IFERROR(INDEX('Budget Planning'!$C:$C,header_row_id),"")</f>
        <v/>
      </c>
      <c r="J47" t="str" cm="1">
        <f t="array" ref="J47">IFERROR(INDEX('Budget Planning'!$C:$C,row_id),"")</f>
        <v/>
      </c>
      <c r="K47" s="44" t="str" cm="1">
        <f t="array" ref="K47">IF(OR(is_header,is_empty),"",IF(is_total,IF(selected_period="Total Year",SUMPRODUCT(Tracking[Amount],--(TRIM(Tracking[Type])=TRIM(type)),--(Tracking[Date]&gt;=DATE(selected_year,1,1)),--(Tracking[Date]&lt;DATE(selected_year+1,1,1))),SUMPRODUCT(Tracking[Amount],--(TRIM(Tracking[Type])=TRIM(type)),--(Tracking[Date]&gt;=DATE(selected_year,1,1)),--(Tracking[Date]&lt;DATE(selected_year+1,1,1)),--(MONTH(Tracking[Date])=selected_period))),IF(selected_period="Total Year",SUMPRODUCT(Tracking[Amount],--(TRIM(Tracking[Type])=TRIM(type)),--(TRIM(Tracking[Categories])=TRIM(item)),--(Tracking[Date]&gt;=DATE(selected_year,1,1)),--(Tracking[Date]&lt;DATE(selected_year+1,1,1))),SUMPRODUCT(Tracking[Amount],--(TRIM(Tracking[Type])=TRIM(type)),--(TRIM(Tracking[Categories])=TRIM(item)),--(Tracking[Date]&gt;=DATE(selected_year,1,1)),--(Tracking[Date]&lt;DATE(selected_year+1,1,1)),--(MONTH(Tracking[Date])=selected_period)))))</f>
        <v/>
      </c>
      <c r="L47" s="52" t="str" cm="1">
        <f t="array" ref="L47">IF(OR(is_header,is_empty),"",INDEX('Budget Planning'!$E:$FA,row_id,MATCH(IF(selected_period="Total Year",selected_year,DATE(selected_year,selected_period,1)),'Budget Planning'!$E$9:$FA$9,0)))</f>
        <v/>
      </c>
      <c r="M47" s="2" t="str" cm="1">
        <f t="array" ref="M47">IF(is_cat,IF(header_row_id=Income_header_row, MATCH(income_min_row,$C:$C,0),IF(header_row_id=expenses_header_row, MATCH(expenses_min_row,$C:$C,0),IF(header_row_id=savings_header_row, MATCH(savings_min_row,$C:$C,0),""))),"")</f>
        <v/>
      </c>
      <c r="N47" s="3" t="str" cm="1">
        <f t="array" ref="N47">IF(is_cat,IF(header_row_id=Income_header_row, MATCH(income_max_row,$C:$C,0),IF(header_row_id=expenses_header_row, MATCH(expenses_max_row,$C:$C,0),IF(header_row_id=savings_header_row, MATCH(savings_max_row,$C:$C,0),""))),"")</f>
        <v/>
      </c>
      <c r="O47" s="2" t="str">
        <f t="shared" si="3"/>
        <v/>
      </c>
      <c r="P47" t="str">
        <f t="shared" ca="1" si="4"/>
        <v/>
      </c>
      <c r="Q47" t="str">
        <f t="shared" si="5"/>
        <v/>
      </c>
      <c r="R47" s="3" t="str">
        <f t="shared" ca="1" si="6"/>
        <v/>
      </c>
      <c r="S47" s="2" t="str">
        <f t="shared" si="7"/>
        <v/>
      </c>
      <c r="T47" t="str">
        <f t="shared" si="8"/>
        <v/>
      </c>
      <c r="U47" t="str">
        <f t="shared" ca="1" si="9"/>
        <v/>
      </c>
      <c r="V47" t="str">
        <f t="shared" si="10"/>
        <v/>
      </c>
      <c r="W47" s="3" t="str">
        <f t="shared" ca="1" si="11"/>
        <v/>
      </c>
      <c r="X47" s="54">
        <f t="shared" si="12"/>
        <v>-1</v>
      </c>
      <c r="Y47" s="55" t="str">
        <f t="shared" si="13"/>
        <v/>
      </c>
      <c r="Z47" s="58" t="str">
        <f t="shared" si="14"/>
        <v/>
      </c>
      <c r="AA47" s="58" t="str">
        <f t="shared" si="15"/>
        <v/>
      </c>
      <c r="AB47" s="57" t="str">
        <f t="shared" si="16"/>
        <v/>
      </c>
      <c r="AC47" s="58" t="str">
        <f t="shared" si="17"/>
        <v/>
      </c>
      <c r="AD47" s="58" t="str">
        <f t="shared" si="18"/>
        <v/>
      </c>
    </row>
    <row r="48" spans="3:44" x14ac:dyDescent="0.25">
      <c r="C48" s="2" cm="1">
        <f t="array" ref="C48">IF(C47=-1,-1, IF(C47&lt;income_max_row,C47+1,IF(C47=income_max_row,income_total_row,IF(C47=income_total_row,"/1", IF(C47="/1",expenses_header_row,IF(C47&lt;expenses_max_row,C47+1,IF(C47=expenses_max_row,expenses_total_row,IF(C47=expenses_total_row,"/2",IF(C47="/2",savings_header_row,IF(C47&lt;savings_max_row,C47+1,IF(C47=savings_max_row,savings_total_row,-1)))))))))))</f>
        <v>-1</v>
      </c>
      <c r="D48" s="3">
        <f t="shared" si="0"/>
        <v>-1</v>
      </c>
      <c r="E48" s="2" cm="1">
        <f t="array" ref="E48">1*OR(row_id=Income_header_row, row_id=expenses_header_row, row_id=savings_header_row)</f>
        <v>0</v>
      </c>
      <c r="F48">
        <f t="shared" si="1"/>
        <v>0</v>
      </c>
      <c r="G48" cm="1">
        <f t="array" ref="G48">1*OR(row_id=income_total_row, row_id=expenses_total_row, row_id=savings_total_row)</f>
        <v>0</v>
      </c>
      <c r="H48" s="3">
        <f t="shared" si="2"/>
        <v>1</v>
      </c>
      <c r="I48" s="2" t="str" cm="1">
        <f t="array" ref="I48">IFERROR(INDEX('Budget Planning'!$C:$C,header_row_id),"")</f>
        <v/>
      </c>
      <c r="J48" t="str" cm="1">
        <f t="array" ref="J48">IFERROR(INDEX('Budget Planning'!$C:$C,row_id),"")</f>
        <v/>
      </c>
      <c r="K48" s="44" t="str" cm="1">
        <f t="array" ref="K48">IF(OR(is_header,is_empty),"",IF(is_total,IF(selected_period="Total Year",SUMPRODUCT(Tracking[Amount],--(TRIM(Tracking[Type])=TRIM(type)),--(Tracking[Date]&gt;=DATE(selected_year,1,1)),--(Tracking[Date]&lt;DATE(selected_year+1,1,1))),SUMPRODUCT(Tracking[Amount],--(TRIM(Tracking[Type])=TRIM(type)),--(Tracking[Date]&gt;=DATE(selected_year,1,1)),--(Tracking[Date]&lt;DATE(selected_year+1,1,1)),--(MONTH(Tracking[Date])=selected_period))),IF(selected_period="Total Year",SUMPRODUCT(Tracking[Amount],--(TRIM(Tracking[Type])=TRIM(type)),--(TRIM(Tracking[Categories])=TRIM(item)),--(Tracking[Date]&gt;=DATE(selected_year,1,1)),--(Tracking[Date]&lt;DATE(selected_year+1,1,1))),SUMPRODUCT(Tracking[Amount],--(TRIM(Tracking[Type])=TRIM(type)),--(TRIM(Tracking[Categories])=TRIM(item)),--(Tracking[Date]&gt;=DATE(selected_year,1,1)),--(Tracking[Date]&lt;DATE(selected_year+1,1,1)),--(MONTH(Tracking[Date])=selected_period)))))</f>
        <v/>
      </c>
      <c r="L48" s="52" t="str" cm="1">
        <f t="array" ref="L48">IF(OR(is_header,is_empty),"",INDEX('Budget Planning'!$E:$FA,row_id,MATCH(IF(selected_period="Total Year",selected_year,DATE(selected_year,selected_period,1)),'Budget Planning'!$E$9:$FA$9,0)))</f>
        <v/>
      </c>
      <c r="M48" s="2" t="str" cm="1">
        <f t="array" ref="M48">IF(is_cat,IF(header_row_id=Income_header_row, MATCH(income_min_row,$C:$C,0),IF(header_row_id=expenses_header_row, MATCH(expenses_min_row,$C:$C,0),IF(header_row_id=savings_header_row, MATCH(savings_min_row,$C:$C,0),""))),"")</f>
        <v/>
      </c>
      <c r="N48" s="3" t="str" cm="1">
        <f t="array" ref="N48">IF(is_cat,IF(header_row_id=Income_header_row, MATCH(income_max_row,$C:$C,0),IF(header_row_id=expenses_header_row, MATCH(expenses_max_row,$C:$C,0),IF(header_row_id=savings_header_row, MATCH(savings_max_row,$C:$C,0),""))),"")</f>
        <v/>
      </c>
      <c r="O48" s="2" t="str">
        <f t="shared" si="3"/>
        <v/>
      </c>
      <c r="P48" t="str">
        <f t="shared" ca="1" si="4"/>
        <v/>
      </c>
      <c r="Q48" t="str">
        <f t="shared" si="5"/>
        <v/>
      </c>
      <c r="R48" s="3" t="str">
        <f t="shared" ca="1" si="6"/>
        <v/>
      </c>
      <c r="S48" s="2" t="str">
        <f t="shared" si="7"/>
        <v/>
      </c>
      <c r="T48" t="str">
        <f t="shared" si="8"/>
        <v/>
      </c>
      <c r="U48" t="str">
        <f t="shared" ca="1" si="9"/>
        <v/>
      </c>
      <c r="V48" t="str">
        <f t="shared" si="10"/>
        <v/>
      </c>
      <c r="W48" s="3" t="str">
        <f t="shared" ca="1" si="11"/>
        <v/>
      </c>
      <c r="X48" s="54">
        <f t="shared" si="12"/>
        <v>-1</v>
      </c>
      <c r="Y48" s="55" t="str">
        <f t="shared" si="13"/>
        <v/>
      </c>
      <c r="Z48" s="58" t="str">
        <f t="shared" si="14"/>
        <v/>
      </c>
      <c r="AA48" s="58" t="str">
        <f t="shared" si="15"/>
        <v/>
      </c>
      <c r="AB48" s="57" t="str">
        <f t="shared" si="16"/>
        <v/>
      </c>
      <c r="AC48" s="58" t="str">
        <f t="shared" si="17"/>
        <v/>
      </c>
      <c r="AD48" s="58" t="str">
        <f t="shared" si="18"/>
        <v/>
      </c>
    </row>
    <row r="49" spans="3:30" x14ac:dyDescent="0.25">
      <c r="C49" s="2" cm="1">
        <f t="array" ref="C49">IF(C48=-1,-1, IF(C48&lt;income_max_row,C48+1,IF(C48=income_max_row,income_total_row,IF(C48=income_total_row,"/1", IF(C48="/1",expenses_header_row,IF(C48&lt;expenses_max_row,C48+1,IF(C48=expenses_max_row,expenses_total_row,IF(C48=expenses_total_row,"/2",IF(C48="/2",savings_header_row,IF(C48&lt;savings_max_row,C48+1,IF(C48=savings_max_row,savings_total_row,-1)))))))))))</f>
        <v>-1</v>
      </c>
      <c r="D49" s="3">
        <f t="shared" si="0"/>
        <v>-1</v>
      </c>
      <c r="E49" s="2" t="b">
        <v>0</v>
      </c>
      <c r="F49">
        <f t="shared" si="1"/>
        <v>0</v>
      </c>
      <c r="G49" cm="1">
        <f t="array" ref="G49">1*OR(row_id=income_total_row, row_id=expenses_total_row, row_id=savings_total_row)</f>
        <v>0</v>
      </c>
      <c r="H49" s="3">
        <f t="shared" si="2"/>
        <v>1</v>
      </c>
      <c r="I49" s="2" t="str" cm="1">
        <f t="array" ref="I49">IFERROR(INDEX('Budget Planning'!$C:$C,header_row_id),"")</f>
        <v/>
      </c>
      <c r="J49" t="str" cm="1">
        <f t="array" ref="J49">IFERROR(INDEX('Budget Planning'!$C:$C,row_id),"")</f>
        <v/>
      </c>
      <c r="K49" s="44" t="str" cm="1">
        <f t="array" ref="K49">IF(OR(is_header,is_empty),"",IF(is_total,IF(selected_period="Total Year",SUMPRODUCT(Tracking[Amount],--(TRIM(Tracking[Type])=TRIM(type)),--(Tracking[Date]&gt;=DATE(selected_year,1,1)),--(Tracking[Date]&lt;DATE(selected_year+1,1,1))),SUMPRODUCT(Tracking[Amount],--(TRIM(Tracking[Type])=TRIM(type)),--(Tracking[Date]&gt;=DATE(selected_year,1,1)),--(Tracking[Date]&lt;DATE(selected_year+1,1,1)),--(MONTH(Tracking[Date])=selected_period))),IF(selected_period="Total Year",SUMPRODUCT(Tracking[Amount],--(TRIM(Tracking[Type])=TRIM(type)),--(TRIM(Tracking[Categories])=TRIM(item)),--(Tracking[Date]&gt;=DATE(selected_year,1,1)),--(Tracking[Date]&lt;DATE(selected_year+1,1,1))),SUMPRODUCT(Tracking[Amount],--(TRIM(Tracking[Type])=TRIM(type)),--(TRIM(Tracking[Categories])=TRIM(item)),--(Tracking[Date]&gt;=DATE(selected_year,1,1)),--(Tracking[Date]&lt;DATE(selected_year+1,1,1)),--(MONTH(Tracking[Date])=selected_period)))))</f>
        <v/>
      </c>
      <c r="L49" s="52" t="str" cm="1">
        <f t="array" ref="L49">IF(OR(is_header,is_empty),"",INDEX('Budget Planning'!$E:$FA,row_id,MATCH(IF(selected_period="Total Year",selected_year,DATE(selected_year,selected_period,1)),'Budget Planning'!$E$9:$FA$9,0)))</f>
        <v/>
      </c>
      <c r="M49" s="2" t="str" cm="1">
        <f t="array" ref="M49">IF(is_cat,IF(header_row_id=Income_header_row, MATCH(income_min_row,$C:$C,0),IF(header_row_id=expenses_header_row, MATCH(expenses_min_row,$C:$C,0),IF(header_row_id=savings_header_row, MATCH(savings_min_row,$C:$C,0),""))),"")</f>
        <v/>
      </c>
      <c r="N49" s="3" t="str" cm="1">
        <f t="array" ref="N49">IF(is_cat,IF(header_row_id=Income_header_row, MATCH(income_max_row,$C:$C,0),IF(header_row_id=expenses_header_row, MATCH(expenses_max_row,$C:$C,0),IF(header_row_id=savings_header_row, MATCH(savings_max_row,$C:$C,0),""))),"")</f>
        <v/>
      </c>
      <c r="O49" s="2" t="str">
        <f t="shared" si="3"/>
        <v/>
      </c>
      <c r="P49" t="str">
        <f t="shared" ca="1" si="4"/>
        <v/>
      </c>
      <c r="Q49" t="str">
        <f t="shared" si="5"/>
        <v/>
      </c>
      <c r="R49" s="3" t="str">
        <f t="shared" ca="1" si="6"/>
        <v/>
      </c>
      <c r="S49" s="2" t="str">
        <f t="shared" si="7"/>
        <v/>
      </c>
      <c r="T49" t="str">
        <f t="shared" si="8"/>
        <v/>
      </c>
      <c r="U49" t="str">
        <f t="shared" ca="1" si="9"/>
        <v/>
      </c>
      <c r="V49" t="str">
        <f t="shared" si="10"/>
        <v/>
      </c>
      <c r="W49" s="3" t="str">
        <f t="shared" ca="1" si="11"/>
        <v/>
      </c>
      <c r="X49" s="54">
        <f t="shared" si="12"/>
        <v>-1</v>
      </c>
      <c r="Y49" s="55" t="str">
        <f t="shared" si="13"/>
        <v/>
      </c>
      <c r="Z49" s="58" t="str">
        <f t="shared" si="14"/>
        <v/>
      </c>
      <c r="AA49" s="58" t="str">
        <f t="shared" si="15"/>
        <v/>
      </c>
      <c r="AB49" s="57" t="str">
        <f t="shared" si="16"/>
        <v/>
      </c>
      <c r="AC49" s="58" t="str">
        <f t="shared" si="17"/>
        <v/>
      </c>
      <c r="AD49" s="58" t="str">
        <f t="shared" si="18"/>
        <v/>
      </c>
    </row>
    <row r="50" spans="3:30" x14ac:dyDescent="0.25">
      <c r="C50" s="2" cm="1">
        <f t="array" ref="C50">IF(C49=-1,-1, IF(C49&lt;income_max_row,C49+1,IF(C49=income_max_row,income_total_row,IF(C49=income_total_row,"/1", IF(C49="/1",expenses_header_row,IF(C49&lt;expenses_max_row,C49+1,IF(C49=expenses_max_row,expenses_total_row,IF(C49=expenses_total_row,"/2",IF(C49="/2",savings_header_row,IF(C49&lt;savings_max_row,C49+1,IF(C49=savings_max_row,savings_total_row,-1)))))))))))</f>
        <v>-1</v>
      </c>
      <c r="D50" s="3">
        <f t="shared" si="0"/>
        <v>-1</v>
      </c>
      <c r="E50" s="2" t="b">
        <v>0</v>
      </c>
      <c r="F50">
        <f t="shared" si="1"/>
        <v>0</v>
      </c>
      <c r="G50" cm="1">
        <f t="array" ref="G50">1*OR(row_id=income_total_row, row_id=expenses_total_row, row_id=savings_total_row)</f>
        <v>0</v>
      </c>
      <c r="H50" s="3">
        <f t="shared" si="2"/>
        <v>1</v>
      </c>
      <c r="I50" s="2" t="str" cm="1">
        <f t="array" ref="I50">IFERROR(INDEX('Budget Planning'!$C:$C,header_row_id),"")</f>
        <v/>
      </c>
      <c r="J50" t="str" cm="1">
        <f t="array" ref="J50">IFERROR(INDEX('Budget Planning'!$C:$C,row_id),"")</f>
        <v/>
      </c>
      <c r="K50" s="44" t="str" cm="1">
        <f t="array" ref="K50">IF(OR(is_header,is_empty),"",IF(is_total,IF(selected_period="Total Year",SUMPRODUCT(Tracking[Amount],--(TRIM(Tracking[Type])=TRIM(type)),--(Tracking[Date]&gt;=DATE(selected_year,1,1)),--(Tracking[Date]&lt;DATE(selected_year+1,1,1))),SUMPRODUCT(Tracking[Amount],--(TRIM(Tracking[Type])=TRIM(type)),--(Tracking[Date]&gt;=DATE(selected_year,1,1)),--(Tracking[Date]&lt;DATE(selected_year+1,1,1)),--(MONTH(Tracking[Date])=selected_period))),IF(selected_period="Total Year",SUMPRODUCT(Tracking[Amount],--(TRIM(Tracking[Type])=TRIM(type)),--(TRIM(Tracking[Categories])=TRIM(item)),--(Tracking[Date]&gt;=DATE(selected_year,1,1)),--(Tracking[Date]&lt;DATE(selected_year+1,1,1))),SUMPRODUCT(Tracking[Amount],--(TRIM(Tracking[Type])=TRIM(type)),--(TRIM(Tracking[Categories])=TRIM(item)),--(Tracking[Date]&gt;=DATE(selected_year,1,1)),--(Tracking[Date]&lt;DATE(selected_year+1,1,1)),--(MONTH(Tracking[Date])=selected_period)))))</f>
        <v/>
      </c>
      <c r="L50" s="52" t="str" cm="1">
        <f t="array" ref="L50">IF(OR(is_header,is_empty),"",INDEX('Budget Planning'!$E:$FA,row_id,MATCH(IF(selected_period="Total Year",selected_year,DATE(selected_year,selected_period,1)),'Budget Planning'!$E$9:$FA$9,0)))</f>
        <v/>
      </c>
      <c r="M50" s="2" t="str" cm="1">
        <f t="array" ref="M50">IF(is_cat,IF(header_row_id=Income_header_row, MATCH(income_min_row,$C:$C,0),IF(header_row_id=expenses_header_row, MATCH(expenses_min_row,$C:$C,0),IF(header_row_id=savings_header_row, MATCH(savings_min_row,$C:$C,0),""))),"")</f>
        <v/>
      </c>
      <c r="N50" s="3" t="str" cm="1">
        <f t="array" ref="N50">IF(is_cat,IF(header_row_id=Income_header_row, MATCH(income_max_row,$C:$C,0),IF(header_row_id=expenses_header_row, MATCH(expenses_max_row,$C:$C,0),IF(header_row_id=savings_header_row, MATCH(savings_max_row,$C:$C,0),""))),"")</f>
        <v/>
      </c>
      <c r="O50" s="2" t="str">
        <f t="shared" si="3"/>
        <v/>
      </c>
      <c r="P50" t="str">
        <f t="shared" ca="1" si="4"/>
        <v/>
      </c>
      <c r="Q50" t="str">
        <f t="shared" si="5"/>
        <v/>
      </c>
      <c r="R50" s="3" t="str">
        <f t="shared" ca="1" si="6"/>
        <v/>
      </c>
      <c r="S50" s="2" t="str">
        <f t="shared" si="7"/>
        <v/>
      </c>
      <c r="T50" t="str">
        <f t="shared" si="8"/>
        <v/>
      </c>
      <c r="U50" t="str">
        <f t="shared" ca="1" si="9"/>
        <v/>
      </c>
      <c r="V50" t="str">
        <f t="shared" si="10"/>
        <v/>
      </c>
      <c r="W50" s="3" t="str">
        <f t="shared" ca="1" si="11"/>
        <v/>
      </c>
      <c r="X50" s="54">
        <f t="shared" si="12"/>
        <v>-1</v>
      </c>
      <c r="Y50" s="55" t="str">
        <f t="shared" si="13"/>
        <v/>
      </c>
      <c r="Z50" s="58" t="str">
        <f t="shared" si="14"/>
        <v/>
      </c>
      <c r="AA50" s="58" t="str">
        <f t="shared" si="15"/>
        <v/>
      </c>
      <c r="AB50" s="57" t="str">
        <f t="shared" si="16"/>
        <v/>
      </c>
      <c r="AC50" s="58" t="str">
        <f t="shared" si="17"/>
        <v/>
      </c>
      <c r="AD50" s="58" t="str">
        <f t="shared" si="18"/>
        <v/>
      </c>
    </row>
    <row r="51" spans="3:30" x14ac:dyDescent="0.25">
      <c r="C51" s="2" cm="1">
        <f t="array" ref="C51">IF(C50=-1,-1, IF(C50&lt;income_max_row,C50+1,IF(C50=income_max_row,income_total_row,IF(C50=income_total_row,"/1", IF(C50="/1",expenses_header_row,IF(C50&lt;expenses_max_row,C50+1,IF(C50=expenses_max_row,expenses_total_row,IF(C50=expenses_total_row,"/2",IF(C50="/2",savings_header_row,IF(C50&lt;savings_max_row,C50+1,IF(C50=savings_max_row,savings_total_row,-1)))))))))))</f>
        <v>-1</v>
      </c>
      <c r="D51" s="3">
        <f t="shared" si="0"/>
        <v>-1</v>
      </c>
      <c r="E51" s="2" t="b">
        <v>0</v>
      </c>
      <c r="F51">
        <f t="shared" si="1"/>
        <v>0</v>
      </c>
      <c r="G51" cm="1">
        <f t="array" ref="G51">1*OR(row_id=income_total_row, row_id=expenses_total_row, row_id=savings_total_row)</f>
        <v>0</v>
      </c>
      <c r="H51" s="3">
        <f t="shared" si="2"/>
        <v>1</v>
      </c>
      <c r="I51" s="2" t="str" cm="1">
        <f t="array" ref="I51">IFERROR(INDEX('Budget Planning'!$C:$C,header_row_id),"")</f>
        <v/>
      </c>
      <c r="J51" t="str" cm="1">
        <f t="array" ref="J51">IFERROR(INDEX('Budget Planning'!$C:$C,row_id),"")</f>
        <v/>
      </c>
      <c r="K51" s="44" t="str" cm="1">
        <f t="array" ref="K51">IF(OR(is_header,is_empty),"",IF(is_total,IF(selected_period="Total Year",SUMPRODUCT(Tracking[Amount],--(TRIM(Tracking[Type])=TRIM(type)),--(Tracking[Date]&gt;=DATE(selected_year,1,1)),--(Tracking[Date]&lt;DATE(selected_year+1,1,1))),SUMPRODUCT(Tracking[Amount],--(TRIM(Tracking[Type])=TRIM(type)),--(Tracking[Date]&gt;=DATE(selected_year,1,1)),--(Tracking[Date]&lt;DATE(selected_year+1,1,1)),--(MONTH(Tracking[Date])=selected_period))),IF(selected_period="Total Year",SUMPRODUCT(Tracking[Amount],--(TRIM(Tracking[Type])=TRIM(type)),--(TRIM(Tracking[Categories])=TRIM(item)),--(Tracking[Date]&gt;=DATE(selected_year,1,1)),--(Tracking[Date]&lt;DATE(selected_year+1,1,1))),SUMPRODUCT(Tracking[Amount],--(TRIM(Tracking[Type])=TRIM(type)),--(TRIM(Tracking[Categories])=TRIM(item)),--(Tracking[Date]&gt;=DATE(selected_year,1,1)),--(Tracking[Date]&lt;DATE(selected_year+1,1,1)),--(MONTH(Tracking[Date])=selected_period)))))</f>
        <v/>
      </c>
      <c r="L51" s="52" t="str" cm="1">
        <f t="array" ref="L51">IF(OR(is_header,is_empty),"",INDEX('Budget Planning'!$E:$FA,row_id,MATCH(IF(selected_period="Total Year",selected_year,DATE(selected_year,selected_period,1)),'Budget Planning'!$E$9:$FA$9,0)))</f>
        <v/>
      </c>
      <c r="M51" s="2" t="str" cm="1">
        <f t="array" ref="M51">IF(is_cat,IF(header_row_id=Income_header_row, MATCH(income_min_row,$C:$C,0),IF(header_row_id=expenses_header_row, MATCH(expenses_min_row,$C:$C,0),IF(header_row_id=savings_header_row, MATCH(savings_min_row,$C:$C,0),""))),"")</f>
        <v/>
      </c>
      <c r="N51" s="3" t="str" cm="1">
        <f t="array" ref="N51">IF(is_cat,IF(header_row_id=Income_header_row, MATCH(income_max_row,$C:$C,0),IF(header_row_id=expenses_header_row, MATCH(expenses_max_row,$C:$C,0),IF(header_row_id=savings_header_row, MATCH(savings_max_row,$C:$C,0),""))),"")</f>
        <v/>
      </c>
      <c r="O51" s="2" t="str">
        <f t="shared" si="3"/>
        <v/>
      </c>
      <c r="P51" t="str">
        <f t="shared" ca="1" si="4"/>
        <v/>
      </c>
      <c r="Q51" t="str">
        <f t="shared" si="5"/>
        <v/>
      </c>
      <c r="R51" s="3" t="str">
        <f t="shared" ca="1" si="6"/>
        <v/>
      </c>
      <c r="S51" s="2" t="str">
        <f t="shared" si="7"/>
        <v/>
      </c>
      <c r="T51" t="str">
        <f t="shared" si="8"/>
        <v/>
      </c>
      <c r="U51" t="str">
        <f t="shared" ca="1" si="9"/>
        <v/>
      </c>
      <c r="V51" t="str">
        <f t="shared" si="10"/>
        <v/>
      </c>
      <c r="W51" s="3" t="str">
        <f t="shared" ca="1" si="11"/>
        <v/>
      </c>
      <c r="X51" s="54">
        <f t="shared" si="12"/>
        <v>-1</v>
      </c>
      <c r="Y51" s="55" t="str">
        <f t="shared" si="13"/>
        <v/>
      </c>
      <c r="Z51" s="58" t="str">
        <f t="shared" si="14"/>
        <v/>
      </c>
      <c r="AA51" s="58" t="str">
        <f t="shared" si="15"/>
        <v/>
      </c>
      <c r="AB51" s="57" t="str">
        <f t="shared" si="16"/>
        <v/>
      </c>
      <c r="AC51" s="58" t="str">
        <f t="shared" si="17"/>
        <v/>
      </c>
      <c r="AD51" s="58" t="str">
        <f t="shared" si="18"/>
        <v/>
      </c>
    </row>
    <row r="52" spans="3:30" x14ac:dyDescent="0.25">
      <c r="C52" s="2" cm="1">
        <f t="array" ref="C52">IF(C51=-1,-1, IF(C51&lt;income_max_row,C51+1,IF(C51=income_max_row,income_total_row,IF(C51=income_total_row,"/1", IF(C51="/1",expenses_header_row,IF(C51&lt;expenses_max_row,C51+1,IF(C51=expenses_max_row,expenses_total_row,IF(C51=expenses_total_row,"/2",IF(C51="/2",savings_header_row,IF(C51&lt;savings_max_row,C51+1,IF(C51=savings_max_row,savings_total_row,-1)))))))))))</f>
        <v>-1</v>
      </c>
      <c r="D52" s="3">
        <f t="shared" si="0"/>
        <v>-1</v>
      </c>
      <c r="E52" s="2" cm="1">
        <f t="array" ref="E52">1*OR(row_id=Income_header_row, row_id=expenses_header_row, row_id=savings_header_row)</f>
        <v>0</v>
      </c>
      <c r="F52">
        <f t="shared" si="1"/>
        <v>0</v>
      </c>
      <c r="G52" cm="1">
        <f t="array" ref="G52">1*OR(row_id=income_total_row, row_id=expenses_total_row, row_id=savings_total_row)</f>
        <v>0</v>
      </c>
      <c r="H52" s="3">
        <f t="shared" si="2"/>
        <v>1</v>
      </c>
      <c r="I52" s="2" t="str" cm="1">
        <f t="array" ref="I52">IFERROR(INDEX('Budget Planning'!$C:$C,header_row_id),"")</f>
        <v/>
      </c>
      <c r="J52" t="str" cm="1">
        <f t="array" ref="J52">IFERROR(INDEX('Budget Planning'!$C:$C,row_id),"")</f>
        <v/>
      </c>
      <c r="K52" s="44" t="str" cm="1">
        <f t="array" ref="K52">IF(OR(is_header,is_empty),"",IF(is_total,IF(selected_period="Total Year",SUMPRODUCT(Tracking[Amount],--(TRIM(Tracking[Type])=TRIM(type)),--(Tracking[Date]&gt;=DATE(selected_year,1,1)),--(Tracking[Date]&lt;DATE(selected_year+1,1,1))),SUMPRODUCT(Tracking[Amount],--(TRIM(Tracking[Type])=TRIM(type)),--(Tracking[Date]&gt;=DATE(selected_year,1,1)),--(Tracking[Date]&lt;DATE(selected_year+1,1,1)),--(MONTH(Tracking[Date])=selected_period))),IF(selected_period="Total Year",SUMPRODUCT(Tracking[Amount],--(TRIM(Tracking[Type])=TRIM(type)),--(TRIM(Tracking[Categories])=TRIM(item)),--(Tracking[Date]&gt;=DATE(selected_year,1,1)),--(Tracking[Date]&lt;DATE(selected_year+1,1,1))),SUMPRODUCT(Tracking[Amount],--(TRIM(Tracking[Type])=TRIM(type)),--(TRIM(Tracking[Categories])=TRIM(item)),--(Tracking[Date]&gt;=DATE(selected_year,1,1)),--(Tracking[Date]&lt;DATE(selected_year+1,1,1)),--(MONTH(Tracking[Date])=selected_period)))))</f>
        <v/>
      </c>
      <c r="L52" s="52" t="str" cm="1">
        <f t="array" ref="L52">IF(OR(is_header,is_empty),"",INDEX('Budget Planning'!$E:$FA,row_id,MATCH(IF(selected_period="Total Year",selected_year,DATE(selected_year,selected_period,1)),'Budget Planning'!$E$9:$FA$9,0)))</f>
        <v/>
      </c>
      <c r="M52" s="2" t="str" cm="1">
        <f t="array" ref="M52">IF(is_cat,IF(header_row_id=Income_header_row, MATCH(income_min_row,$C:$C,0),IF(header_row_id=expenses_header_row, MATCH(expenses_min_row,$C:$C,0),IF(header_row_id=savings_header_row, MATCH(savings_min_row,$C:$C,0),""))),"")</f>
        <v/>
      </c>
      <c r="N52" s="3" t="str" cm="1">
        <f t="array" ref="N52">IF(is_cat,IF(header_row_id=Income_header_row, MATCH(income_max_row,$C:$C,0),IF(header_row_id=expenses_header_row, MATCH(expenses_max_row,$C:$C,0),IF(header_row_id=savings_header_row, MATCH(savings_max_row,$C:$C,0),""))),"")</f>
        <v/>
      </c>
      <c r="O52" s="2" t="str">
        <f t="shared" si="3"/>
        <v/>
      </c>
      <c r="P52" t="str">
        <f t="shared" ca="1" si="4"/>
        <v/>
      </c>
      <c r="Q52" t="str">
        <f t="shared" si="5"/>
        <v/>
      </c>
      <c r="R52" s="3" t="str">
        <f t="shared" ca="1" si="6"/>
        <v/>
      </c>
      <c r="S52" s="2" t="str">
        <f t="shared" si="7"/>
        <v/>
      </c>
      <c r="T52" t="str">
        <f t="shared" si="8"/>
        <v/>
      </c>
      <c r="U52" t="str">
        <f t="shared" ca="1" si="9"/>
        <v/>
      </c>
      <c r="V52" t="str">
        <f t="shared" si="10"/>
        <v/>
      </c>
      <c r="W52" s="3" t="str">
        <f t="shared" ca="1" si="11"/>
        <v/>
      </c>
      <c r="X52" s="54">
        <f t="shared" si="12"/>
        <v>-1</v>
      </c>
      <c r="Y52" s="55" t="str">
        <f t="shared" si="13"/>
        <v/>
      </c>
      <c r="Z52" s="58" t="str">
        <f t="shared" si="14"/>
        <v/>
      </c>
      <c r="AA52" s="58" t="str">
        <f t="shared" si="15"/>
        <v/>
      </c>
      <c r="AB52" s="57" t="str">
        <f t="shared" si="16"/>
        <v/>
      </c>
      <c r="AC52" s="58" t="str">
        <f t="shared" si="17"/>
        <v/>
      </c>
      <c r="AD52" s="58" t="str">
        <f t="shared" si="18"/>
        <v/>
      </c>
    </row>
    <row r="53" spans="3:30" x14ac:dyDescent="0.25">
      <c r="C53" s="2" cm="1">
        <f t="array" ref="C53">IF(C52=-1,-1, IF(C52&lt;income_max_row,C52+1,IF(C52=income_max_row,income_total_row,IF(C52=income_total_row,"/1", IF(C52="/1",expenses_header_row,IF(C52&lt;expenses_max_row,C52+1,IF(C52=expenses_max_row,expenses_total_row,IF(C52=expenses_total_row,"/2",IF(C52="/2",savings_header_row,IF(C52&lt;savings_max_row,C52+1,IF(C52=savings_max_row,savings_total_row,-1)))))))))))</f>
        <v>-1</v>
      </c>
      <c r="D53" s="3">
        <f t="shared" si="0"/>
        <v>-1</v>
      </c>
      <c r="E53" s="2" cm="1">
        <f t="array" ref="E53">1*OR(row_id=Income_header_row, row_id=expenses_header_row, row_id=savings_header_row)</f>
        <v>0</v>
      </c>
      <c r="F53">
        <f t="shared" si="1"/>
        <v>0</v>
      </c>
      <c r="G53" cm="1">
        <f t="array" ref="G53">1*OR(row_id=income_total_row, row_id=expenses_total_row, row_id=savings_total_row)</f>
        <v>0</v>
      </c>
      <c r="H53" s="3">
        <f t="shared" si="2"/>
        <v>1</v>
      </c>
      <c r="I53" s="2" t="str" cm="1">
        <f t="array" ref="I53">IFERROR(INDEX('Budget Planning'!$C:$C,header_row_id),"")</f>
        <v/>
      </c>
      <c r="J53" t="str" cm="1">
        <f t="array" ref="J53">IFERROR(INDEX('Budget Planning'!$C:$C,row_id),"")</f>
        <v/>
      </c>
      <c r="K53" s="44" t="str" cm="1">
        <f t="array" ref="K53">IF(OR(is_header,is_empty),"",IF(is_total,IF(selected_period="Total Year",SUMPRODUCT(Tracking[Amount],--(TRIM(Tracking[Type])=TRIM(type)),--(Tracking[Date]&gt;=DATE(selected_year,1,1)),--(Tracking[Date]&lt;DATE(selected_year+1,1,1))),SUMPRODUCT(Tracking[Amount],--(TRIM(Tracking[Type])=TRIM(type)),--(Tracking[Date]&gt;=DATE(selected_year,1,1)),--(Tracking[Date]&lt;DATE(selected_year+1,1,1)),--(MONTH(Tracking[Date])=selected_period))),IF(selected_period="Total Year",SUMPRODUCT(Tracking[Amount],--(TRIM(Tracking[Type])=TRIM(type)),--(TRIM(Tracking[Categories])=TRIM(item)),--(Tracking[Date]&gt;=DATE(selected_year,1,1)),--(Tracking[Date]&lt;DATE(selected_year+1,1,1))),SUMPRODUCT(Tracking[Amount],--(TRIM(Tracking[Type])=TRIM(type)),--(TRIM(Tracking[Categories])=TRIM(item)),--(Tracking[Date]&gt;=DATE(selected_year,1,1)),--(Tracking[Date]&lt;DATE(selected_year+1,1,1)),--(MONTH(Tracking[Date])=selected_period)))))</f>
        <v/>
      </c>
      <c r="L53" s="52" t="str" cm="1">
        <f t="array" ref="L53">IF(OR(is_header,is_empty),"",INDEX('Budget Planning'!$E:$FA,row_id,MATCH(IF(selected_period="Total Year",selected_year,DATE(selected_year,selected_period,1)),'Budget Planning'!$E$9:$FA$9,0)))</f>
        <v/>
      </c>
      <c r="M53" s="2" t="str" cm="1">
        <f t="array" ref="M53">IF(is_cat,IF(header_row_id=Income_header_row, MATCH(income_min_row,$C:$C,0),IF(header_row_id=expenses_header_row, MATCH(expenses_min_row,$C:$C,0),IF(header_row_id=savings_header_row, MATCH(savings_min_row,$C:$C,0),""))),"")</f>
        <v/>
      </c>
      <c r="N53" s="3" t="str" cm="1">
        <f t="array" ref="N53">IF(is_cat,IF(header_row_id=Income_header_row, MATCH(income_max_row,$C:$C,0),IF(header_row_id=expenses_header_row, MATCH(expenses_max_row,$C:$C,0),IF(header_row_id=savings_header_row, MATCH(savings_max_row,$C:$C,0),""))),"")</f>
        <v/>
      </c>
      <c r="O53" s="2" t="str">
        <f t="shared" si="3"/>
        <v/>
      </c>
      <c r="P53" t="str">
        <f t="shared" ca="1" si="4"/>
        <v/>
      </c>
      <c r="Q53" t="str">
        <f t="shared" si="5"/>
        <v/>
      </c>
      <c r="R53" s="3" t="str">
        <f t="shared" ca="1" si="6"/>
        <v/>
      </c>
      <c r="S53" s="2" t="str">
        <f t="shared" si="7"/>
        <v/>
      </c>
      <c r="T53" t="str">
        <f t="shared" si="8"/>
        <v/>
      </c>
      <c r="U53" t="str">
        <f t="shared" ca="1" si="9"/>
        <v/>
      </c>
      <c r="V53" t="str">
        <f t="shared" si="10"/>
        <v/>
      </c>
      <c r="W53" s="3" t="str">
        <f t="shared" ca="1" si="11"/>
        <v/>
      </c>
      <c r="X53" s="54">
        <f t="shared" si="12"/>
        <v>-1</v>
      </c>
      <c r="Y53" s="55" t="str">
        <f t="shared" si="13"/>
        <v/>
      </c>
      <c r="Z53" s="58" t="str">
        <f t="shared" si="14"/>
        <v/>
      </c>
      <c r="AA53" s="58" t="str">
        <f t="shared" si="15"/>
        <v/>
      </c>
      <c r="AB53" s="57" t="str">
        <f t="shared" si="16"/>
        <v/>
      </c>
      <c r="AC53" s="58" t="str">
        <f t="shared" si="17"/>
        <v/>
      </c>
      <c r="AD53" s="58" t="str">
        <f t="shared" si="18"/>
        <v/>
      </c>
    </row>
    <row r="54" spans="3:30" x14ac:dyDescent="0.25">
      <c r="C54" s="2" cm="1">
        <f t="array" ref="C54">IF(C53=-1,-1, IF(C53&lt;income_max_row,C53+1,IF(C53=income_max_row,income_total_row,IF(C53=income_total_row,"/1", IF(C53="/1",expenses_header_row,IF(C53&lt;expenses_max_row,C53+1,IF(C53=expenses_max_row,expenses_total_row,IF(C53=expenses_total_row,"/2",IF(C53="/2",savings_header_row,IF(C53&lt;savings_max_row,C53+1,IF(C53=savings_max_row,savings_total_row,-1)))))))))))</f>
        <v>-1</v>
      </c>
      <c r="D54" s="3">
        <f t="shared" si="0"/>
        <v>-1</v>
      </c>
      <c r="E54" s="2" cm="1">
        <f t="array" ref="E54">1*OR(row_id=Income_header_row, row_id=expenses_header_row, row_id=savings_header_row)</f>
        <v>0</v>
      </c>
      <c r="F54">
        <f t="shared" si="1"/>
        <v>0</v>
      </c>
      <c r="G54" cm="1">
        <f t="array" ref="G54">1*OR(row_id=income_total_row, row_id=expenses_total_row, row_id=savings_total_row)</f>
        <v>0</v>
      </c>
      <c r="H54" s="3">
        <f t="shared" si="2"/>
        <v>1</v>
      </c>
      <c r="I54" s="2" t="str" cm="1">
        <f t="array" ref="I54">IFERROR(INDEX('Budget Planning'!$C:$C,header_row_id),"")</f>
        <v/>
      </c>
      <c r="J54" t="str" cm="1">
        <f t="array" ref="J54">IFERROR(INDEX('Budget Planning'!$C:$C,row_id),"")</f>
        <v/>
      </c>
      <c r="K54" s="44" t="str" cm="1">
        <f t="array" ref="K54">IF(OR(is_header,is_empty),"",IF(is_total,IF(selected_period="Total Year",SUMPRODUCT(Tracking[Amount],--(TRIM(Tracking[Type])=TRIM(type)),--(Tracking[Date]&gt;=DATE(selected_year,1,1)),--(Tracking[Date]&lt;DATE(selected_year+1,1,1))),SUMPRODUCT(Tracking[Amount],--(TRIM(Tracking[Type])=TRIM(type)),--(Tracking[Date]&gt;=DATE(selected_year,1,1)),--(Tracking[Date]&lt;DATE(selected_year+1,1,1)),--(MONTH(Tracking[Date])=selected_period))),IF(selected_period="Total Year",SUMPRODUCT(Tracking[Amount],--(TRIM(Tracking[Type])=TRIM(type)),--(TRIM(Tracking[Categories])=TRIM(item)),--(Tracking[Date]&gt;=DATE(selected_year,1,1)),--(Tracking[Date]&lt;DATE(selected_year+1,1,1))),SUMPRODUCT(Tracking[Amount],--(TRIM(Tracking[Type])=TRIM(type)),--(TRIM(Tracking[Categories])=TRIM(item)),--(Tracking[Date]&gt;=DATE(selected_year,1,1)),--(Tracking[Date]&lt;DATE(selected_year+1,1,1)),--(MONTH(Tracking[Date])=selected_period)))))</f>
        <v/>
      </c>
      <c r="L54" s="52" t="str" cm="1">
        <f t="array" ref="L54">IF(OR(is_header,is_empty),"",INDEX('Budget Planning'!$E:$FA,row_id,MATCH(IF(selected_period="Total Year",selected_year,DATE(selected_year,selected_period,1)),'Budget Planning'!$E$9:$FA$9,0)))</f>
        <v/>
      </c>
      <c r="M54" s="2" t="str" cm="1">
        <f t="array" ref="M54">IF(is_cat,IF(header_row_id=Income_header_row, MATCH(income_min_row,$C:$C,0),IF(header_row_id=expenses_header_row, MATCH(expenses_min_row,$C:$C,0),IF(header_row_id=savings_header_row, MATCH(savings_min_row,$C:$C,0),""))),"")</f>
        <v/>
      </c>
      <c r="N54" s="3" t="str" cm="1">
        <f t="array" ref="N54">IF(is_cat,IF(header_row_id=Income_header_row, MATCH(income_max_row,$C:$C,0),IF(header_row_id=expenses_header_row, MATCH(expenses_max_row,$C:$C,0),IF(header_row_id=savings_header_row, MATCH(savings_max_row,$C:$C,0),""))),"")</f>
        <v/>
      </c>
      <c r="O54" s="2" t="str">
        <f t="shared" si="3"/>
        <v/>
      </c>
      <c r="P54" t="str">
        <f t="shared" ca="1" si="4"/>
        <v/>
      </c>
      <c r="Q54" t="str">
        <f t="shared" si="5"/>
        <v/>
      </c>
      <c r="R54" s="3" t="str">
        <f t="shared" ca="1" si="6"/>
        <v/>
      </c>
      <c r="S54" s="2" t="str">
        <f t="shared" si="7"/>
        <v/>
      </c>
      <c r="T54" t="str">
        <f t="shared" si="8"/>
        <v/>
      </c>
      <c r="U54" t="str">
        <f t="shared" ca="1" si="9"/>
        <v/>
      </c>
      <c r="V54" t="str">
        <f t="shared" si="10"/>
        <v/>
      </c>
      <c r="W54" s="3" t="str">
        <f t="shared" ca="1" si="11"/>
        <v/>
      </c>
      <c r="X54" s="54">
        <f t="shared" si="12"/>
        <v>-1</v>
      </c>
      <c r="Y54" s="55" t="str">
        <f t="shared" si="13"/>
        <v/>
      </c>
      <c r="Z54" s="58" t="str">
        <f t="shared" si="14"/>
        <v/>
      </c>
      <c r="AA54" s="58" t="str">
        <f t="shared" si="15"/>
        <v/>
      </c>
      <c r="AB54" s="57" t="str">
        <f t="shared" si="16"/>
        <v/>
      </c>
      <c r="AC54" s="58" t="str">
        <f t="shared" si="17"/>
        <v/>
      </c>
      <c r="AD54" s="58" t="str">
        <f t="shared" si="18"/>
        <v/>
      </c>
    </row>
    <row r="55" spans="3:30" x14ac:dyDescent="0.25">
      <c r="C55" s="2" cm="1">
        <f t="array" ref="C55">IF(C54=-1,-1, IF(C54&lt;income_max_row,C54+1,IF(C54=income_max_row,income_total_row,IF(C54=income_total_row,"/1", IF(C54="/1",expenses_header_row,IF(C54&lt;expenses_max_row,C54+1,IF(C54=expenses_max_row,expenses_total_row,IF(C54=expenses_total_row,"/2",IF(C54="/2",savings_header_row,IF(C54&lt;savings_max_row,C54+1,IF(C54=savings_max_row,savings_total_row,-1)))))))))))</f>
        <v>-1</v>
      </c>
      <c r="D55" s="3">
        <f t="shared" si="0"/>
        <v>-1</v>
      </c>
      <c r="E55" s="2" cm="1">
        <f t="array" ref="E55">1*OR(row_id=Income_header_row, row_id=expenses_header_row, row_id=savings_header_row)</f>
        <v>0</v>
      </c>
      <c r="F55">
        <f t="shared" si="1"/>
        <v>0</v>
      </c>
      <c r="G55" cm="1">
        <f t="array" ref="G55">1*OR(row_id=income_total_row, row_id=expenses_total_row, row_id=savings_total_row)</f>
        <v>0</v>
      </c>
      <c r="H55" s="3">
        <f t="shared" si="2"/>
        <v>1</v>
      </c>
      <c r="I55" s="2" t="str" cm="1">
        <f t="array" ref="I55">IFERROR(INDEX('Budget Planning'!$C:$C,header_row_id),"")</f>
        <v/>
      </c>
      <c r="J55" t="str" cm="1">
        <f t="array" ref="J55">IFERROR(INDEX('Budget Planning'!$C:$C,row_id),"")</f>
        <v/>
      </c>
      <c r="K55" s="44" t="str" cm="1">
        <f t="array" ref="K55">IF(OR(is_header,is_empty),"",IF(is_total,IF(selected_period="Total Year",SUMPRODUCT(Tracking[Amount],--(TRIM(Tracking[Type])=TRIM(type)),--(Tracking[Date]&gt;=DATE(selected_year,1,1)),--(Tracking[Date]&lt;DATE(selected_year+1,1,1))),SUMPRODUCT(Tracking[Amount],--(TRIM(Tracking[Type])=TRIM(type)),--(Tracking[Date]&gt;=DATE(selected_year,1,1)),--(Tracking[Date]&lt;DATE(selected_year+1,1,1)),--(MONTH(Tracking[Date])=selected_period))),IF(selected_period="Total Year",SUMPRODUCT(Tracking[Amount],--(TRIM(Tracking[Type])=TRIM(type)),--(TRIM(Tracking[Categories])=TRIM(item)),--(Tracking[Date]&gt;=DATE(selected_year,1,1)),--(Tracking[Date]&lt;DATE(selected_year+1,1,1))),SUMPRODUCT(Tracking[Amount],--(TRIM(Tracking[Type])=TRIM(type)),--(TRIM(Tracking[Categories])=TRIM(item)),--(Tracking[Date]&gt;=DATE(selected_year,1,1)),--(Tracking[Date]&lt;DATE(selected_year+1,1,1)),--(MONTH(Tracking[Date])=selected_period)))))</f>
        <v/>
      </c>
      <c r="L55" s="52" t="str" cm="1">
        <f t="array" ref="L55">IF(OR(is_header,is_empty),"",INDEX('Budget Planning'!$E:$FA,row_id,MATCH(IF(selected_period="Total Year",selected_year,DATE(selected_year,selected_period,1)),'Budget Planning'!$E$9:$FA$9,0)))</f>
        <v/>
      </c>
      <c r="M55" s="2" t="str" cm="1">
        <f t="array" ref="M55">IF(is_cat,IF(header_row_id=Income_header_row, MATCH(income_min_row,$C:$C,0),IF(header_row_id=expenses_header_row, MATCH(expenses_min_row,$C:$C,0),IF(header_row_id=savings_header_row, MATCH(savings_min_row,$C:$C,0),""))),"")</f>
        <v/>
      </c>
      <c r="N55" s="3" t="str" cm="1">
        <f t="array" ref="N55">IF(is_cat,IF(header_row_id=Income_header_row, MATCH(income_max_row,$C:$C,0),IF(header_row_id=expenses_header_row, MATCH(expenses_max_row,$C:$C,0),IF(header_row_id=savings_header_row, MATCH(savings_max_row,$C:$C,0),""))),"")</f>
        <v/>
      </c>
      <c r="O55" s="2" t="str">
        <f t="shared" si="3"/>
        <v/>
      </c>
      <c r="P55" t="str">
        <f t="shared" ca="1" si="4"/>
        <v/>
      </c>
      <c r="Q55" t="str">
        <f t="shared" si="5"/>
        <v/>
      </c>
      <c r="R55" s="3" t="str">
        <f t="shared" ca="1" si="6"/>
        <v/>
      </c>
      <c r="S55" s="2" t="str">
        <f t="shared" si="7"/>
        <v/>
      </c>
      <c r="T55" t="str">
        <f t="shared" si="8"/>
        <v/>
      </c>
      <c r="U55" t="str">
        <f t="shared" ca="1" si="9"/>
        <v/>
      </c>
      <c r="V55" t="str">
        <f t="shared" si="10"/>
        <v/>
      </c>
      <c r="W55" s="3" t="str">
        <f t="shared" ca="1" si="11"/>
        <v/>
      </c>
      <c r="X55" s="54">
        <f t="shared" si="12"/>
        <v>-1</v>
      </c>
      <c r="Y55" s="55" t="str">
        <f t="shared" si="13"/>
        <v/>
      </c>
      <c r="Z55" s="58" t="str">
        <f t="shared" si="14"/>
        <v/>
      </c>
      <c r="AA55" s="58" t="str">
        <f t="shared" si="15"/>
        <v/>
      </c>
      <c r="AB55" s="57" t="str">
        <f t="shared" si="16"/>
        <v/>
      </c>
      <c r="AC55" s="58" t="str">
        <f t="shared" si="17"/>
        <v/>
      </c>
      <c r="AD55" s="58" t="str">
        <f t="shared" si="18"/>
        <v/>
      </c>
    </row>
    <row r="56" spans="3:30" x14ac:dyDescent="0.25">
      <c r="C56" s="2" cm="1">
        <f t="array" ref="C56">IF(C55=-1,-1, IF(C55&lt;income_max_row,C55+1,IF(C55=income_max_row,income_total_row,IF(C55=income_total_row,"/1", IF(C55="/1",expenses_header_row,IF(C55&lt;expenses_max_row,C55+1,IF(C55=expenses_max_row,expenses_total_row,IF(C55=expenses_total_row,"/2",IF(C55="/2",savings_header_row,IF(C55&lt;savings_max_row,C55+1,IF(C55=savings_max_row,savings_total_row,-1)))))))))))</f>
        <v>-1</v>
      </c>
      <c r="D56" s="3">
        <f t="shared" si="0"/>
        <v>-1</v>
      </c>
      <c r="E56" s="2" cm="1">
        <f t="array" ref="E56">1*OR(row_id=Income_header_row, row_id=expenses_header_row, row_id=savings_header_row)</f>
        <v>0</v>
      </c>
      <c r="F56">
        <f t="shared" si="1"/>
        <v>0</v>
      </c>
      <c r="G56" cm="1">
        <f t="array" ref="G56">1*OR(row_id=income_total_row, row_id=expenses_total_row, row_id=savings_total_row)</f>
        <v>0</v>
      </c>
      <c r="H56" s="3">
        <f t="shared" si="2"/>
        <v>1</v>
      </c>
      <c r="I56" s="2" t="str" cm="1">
        <f t="array" ref="I56">IFERROR(INDEX('Budget Planning'!$C:$C,header_row_id),"")</f>
        <v/>
      </c>
      <c r="J56" t="str" cm="1">
        <f t="array" ref="J56">IFERROR(INDEX('Budget Planning'!$C:$C,row_id),"")</f>
        <v/>
      </c>
      <c r="K56" s="44" t="str" cm="1">
        <f t="array" ref="K56">IF(OR(is_header,is_empty),"",IF(is_total,IF(selected_period="Total Year",SUMPRODUCT(Tracking[Amount],--(TRIM(Tracking[Type])=TRIM(type)),--(Tracking[Date]&gt;=DATE(selected_year,1,1)),--(Tracking[Date]&lt;DATE(selected_year+1,1,1))),SUMPRODUCT(Tracking[Amount],--(TRIM(Tracking[Type])=TRIM(type)),--(Tracking[Date]&gt;=DATE(selected_year,1,1)),--(Tracking[Date]&lt;DATE(selected_year+1,1,1)),--(MONTH(Tracking[Date])=selected_period))),IF(selected_period="Total Year",SUMPRODUCT(Tracking[Amount],--(TRIM(Tracking[Type])=TRIM(type)),--(TRIM(Tracking[Categories])=TRIM(item)),--(Tracking[Date]&gt;=DATE(selected_year,1,1)),--(Tracking[Date]&lt;DATE(selected_year+1,1,1))),SUMPRODUCT(Tracking[Amount],--(TRIM(Tracking[Type])=TRIM(type)),--(TRIM(Tracking[Categories])=TRIM(item)),--(Tracking[Date]&gt;=DATE(selected_year,1,1)),--(Tracking[Date]&lt;DATE(selected_year+1,1,1)),--(MONTH(Tracking[Date])=selected_period)))))</f>
        <v/>
      </c>
      <c r="L56" s="52" t="str" cm="1">
        <f t="array" ref="L56">IF(OR(is_header,is_empty),"",INDEX('Budget Planning'!$E:$FA,row_id,MATCH(IF(selected_period="Total Year",selected_year,DATE(selected_year,selected_period,1)),'Budget Planning'!$E$9:$FA$9,0)))</f>
        <v/>
      </c>
      <c r="M56" s="2" t="str" cm="1">
        <f t="array" ref="M56">IF(is_cat,IF(header_row_id=Income_header_row, MATCH(income_min_row,$C:$C,0),IF(header_row_id=expenses_header_row, MATCH(expenses_min_row,$C:$C,0),IF(header_row_id=savings_header_row, MATCH(savings_min_row,$C:$C,0),""))),"")</f>
        <v/>
      </c>
      <c r="N56" s="3" t="str" cm="1">
        <f t="array" ref="N56">IF(is_cat,IF(header_row_id=Income_header_row, MATCH(income_max_row,$C:$C,0),IF(header_row_id=expenses_header_row, MATCH(expenses_max_row,$C:$C,0),IF(header_row_id=savings_header_row, MATCH(savings_max_row,$C:$C,0),""))),"")</f>
        <v/>
      </c>
      <c r="O56" s="2" t="str">
        <f t="shared" si="3"/>
        <v/>
      </c>
      <c r="P56" t="str">
        <f t="shared" ca="1" si="4"/>
        <v/>
      </c>
      <c r="Q56" t="str">
        <f t="shared" si="5"/>
        <v/>
      </c>
      <c r="R56" s="3" t="str">
        <f t="shared" ca="1" si="6"/>
        <v/>
      </c>
      <c r="S56" s="2" t="str">
        <f t="shared" si="7"/>
        <v/>
      </c>
      <c r="T56" t="str">
        <f t="shared" si="8"/>
        <v/>
      </c>
      <c r="U56" t="str">
        <f t="shared" ca="1" si="9"/>
        <v/>
      </c>
      <c r="V56" t="str">
        <f t="shared" si="10"/>
        <v/>
      </c>
      <c r="W56" s="3" t="str">
        <f t="shared" ca="1" si="11"/>
        <v/>
      </c>
      <c r="X56" s="54">
        <f t="shared" si="12"/>
        <v>-1</v>
      </c>
      <c r="Y56" s="55" t="str">
        <f t="shared" si="13"/>
        <v/>
      </c>
      <c r="Z56" s="58" t="str">
        <f t="shared" si="14"/>
        <v/>
      </c>
      <c r="AA56" s="58" t="str">
        <f t="shared" si="15"/>
        <v/>
      </c>
      <c r="AB56" s="57" t="str">
        <f t="shared" si="16"/>
        <v/>
      </c>
      <c r="AC56" s="58" t="str">
        <f t="shared" si="17"/>
        <v/>
      </c>
      <c r="AD56" s="58" t="str">
        <f t="shared" si="18"/>
        <v/>
      </c>
    </row>
    <row r="57" spans="3:30" x14ac:dyDescent="0.25">
      <c r="C57" s="2" cm="1">
        <f t="array" ref="C57">IF(C56=-1,-1, IF(C56&lt;income_max_row,C56+1,IF(C56=income_max_row,income_total_row,IF(C56=income_total_row,"/1", IF(C56="/1",expenses_header_row,IF(C56&lt;expenses_max_row,C56+1,IF(C56=expenses_max_row,expenses_total_row,IF(C56=expenses_total_row,"/2",IF(C56="/2",savings_header_row,IF(C56&lt;savings_max_row,C56+1,IF(C56=savings_max_row,savings_total_row,-1)))))))))))</f>
        <v>-1</v>
      </c>
      <c r="D57" s="3">
        <f t="shared" si="0"/>
        <v>-1</v>
      </c>
      <c r="E57" s="2" cm="1">
        <f t="array" ref="E57">1*OR(row_id=Income_header_row, row_id=expenses_header_row, row_id=savings_header_row)</f>
        <v>0</v>
      </c>
      <c r="F57">
        <f t="shared" si="1"/>
        <v>0</v>
      </c>
      <c r="G57" cm="1">
        <f t="array" ref="G57">1*OR(row_id=income_total_row, row_id=expenses_total_row, row_id=savings_total_row)</f>
        <v>0</v>
      </c>
      <c r="H57" s="3">
        <f t="shared" si="2"/>
        <v>1</v>
      </c>
      <c r="I57" s="2" t="str" cm="1">
        <f t="array" ref="I57">IFERROR(INDEX('Budget Planning'!$C:$C,header_row_id),"")</f>
        <v/>
      </c>
      <c r="J57" t="str" cm="1">
        <f t="array" ref="J57">IFERROR(INDEX('Budget Planning'!$C:$C,row_id),"")</f>
        <v/>
      </c>
      <c r="K57" s="44" t="str" cm="1">
        <f t="array" ref="K57">IF(OR(is_header,is_empty),"",IF(is_total,IF(selected_period="Total Year",SUMPRODUCT(Tracking[Amount],--(TRIM(Tracking[Type])=TRIM(type)),--(Tracking[Date]&gt;=DATE(selected_year,1,1)),--(Tracking[Date]&lt;DATE(selected_year+1,1,1))),SUMPRODUCT(Tracking[Amount],--(TRIM(Tracking[Type])=TRIM(type)),--(Tracking[Date]&gt;=DATE(selected_year,1,1)),--(Tracking[Date]&lt;DATE(selected_year+1,1,1)),--(MONTH(Tracking[Date])=selected_period))),IF(selected_period="Total Year",SUMPRODUCT(Tracking[Amount],--(TRIM(Tracking[Type])=TRIM(type)),--(TRIM(Tracking[Categories])=TRIM(item)),--(Tracking[Date]&gt;=DATE(selected_year,1,1)),--(Tracking[Date]&lt;DATE(selected_year+1,1,1))),SUMPRODUCT(Tracking[Amount],--(TRIM(Tracking[Type])=TRIM(type)),--(TRIM(Tracking[Categories])=TRIM(item)),--(Tracking[Date]&gt;=DATE(selected_year,1,1)),--(Tracking[Date]&lt;DATE(selected_year+1,1,1)),--(MONTH(Tracking[Date])=selected_period)))))</f>
        <v/>
      </c>
      <c r="L57" s="52" t="str" cm="1">
        <f t="array" ref="L57">IF(OR(is_header,is_empty),"",INDEX('Budget Planning'!$E:$FA,row_id,MATCH(IF(selected_period="Total Year",selected_year,DATE(selected_year,selected_period,1)),'Budget Planning'!$E$9:$FA$9,0)))</f>
        <v/>
      </c>
      <c r="M57" s="2" t="str" cm="1">
        <f t="array" ref="M57">IF(is_cat,IF(header_row_id=Income_header_row, MATCH(income_min_row,$C:$C,0),IF(header_row_id=expenses_header_row, MATCH(expenses_min_row,$C:$C,0),IF(header_row_id=savings_header_row, MATCH(savings_min_row,$C:$C,0),""))),"")</f>
        <v/>
      </c>
      <c r="N57" s="3" t="str" cm="1">
        <f t="array" ref="N57">IF(is_cat,IF(header_row_id=Income_header_row, MATCH(income_max_row,$C:$C,0),IF(header_row_id=expenses_header_row, MATCH(expenses_max_row,$C:$C,0),IF(header_row_id=savings_header_row, MATCH(savings_max_row,$C:$C,0),""))),"")</f>
        <v/>
      </c>
      <c r="O57" s="2" t="str">
        <f t="shared" si="3"/>
        <v/>
      </c>
      <c r="P57" t="str">
        <f t="shared" ca="1" si="4"/>
        <v/>
      </c>
      <c r="Q57" t="str">
        <f t="shared" si="5"/>
        <v/>
      </c>
      <c r="R57" s="3" t="str">
        <f t="shared" ca="1" si="6"/>
        <v/>
      </c>
      <c r="S57" s="2" t="str">
        <f t="shared" si="7"/>
        <v/>
      </c>
      <c r="T57" t="str">
        <f t="shared" si="8"/>
        <v/>
      </c>
      <c r="U57" t="str">
        <f t="shared" ca="1" si="9"/>
        <v/>
      </c>
      <c r="V57" t="str">
        <f t="shared" si="10"/>
        <v/>
      </c>
      <c r="W57" s="3" t="str">
        <f t="shared" ca="1" si="11"/>
        <v/>
      </c>
      <c r="X57" s="54">
        <f t="shared" si="12"/>
        <v>-1</v>
      </c>
      <c r="Y57" s="55" t="str">
        <f t="shared" si="13"/>
        <v/>
      </c>
      <c r="Z57" s="58" t="str">
        <f t="shared" si="14"/>
        <v/>
      </c>
      <c r="AA57" s="58" t="str">
        <f t="shared" si="15"/>
        <v/>
      </c>
      <c r="AB57" s="57" t="str">
        <f t="shared" si="16"/>
        <v/>
      </c>
      <c r="AC57" s="58" t="str">
        <f t="shared" si="17"/>
        <v/>
      </c>
      <c r="AD57" s="58" t="str">
        <f t="shared" si="18"/>
        <v/>
      </c>
    </row>
    <row r="58" spans="3:30" x14ac:dyDescent="0.25">
      <c r="C58" s="2" cm="1">
        <f t="array" ref="C58">IF(C57=-1,-1, IF(C57&lt;income_max_row,C57+1,IF(C57=income_max_row,income_total_row,IF(C57=income_total_row,"/1", IF(C57="/1",expenses_header_row,IF(C57&lt;expenses_max_row,C57+1,IF(C57=expenses_max_row,expenses_total_row,IF(C57=expenses_total_row,"/2",IF(C57="/2",savings_header_row,IF(C57&lt;savings_max_row,C57+1,IF(C57=savings_max_row,savings_total_row,-1)))))))))))</f>
        <v>-1</v>
      </c>
      <c r="D58" s="3">
        <f t="shared" si="0"/>
        <v>-1</v>
      </c>
      <c r="E58" s="2" cm="1">
        <f t="array" ref="E58">1*OR(row_id=Income_header_row, row_id=expenses_header_row, row_id=savings_header_row)</f>
        <v>0</v>
      </c>
      <c r="F58">
        <f t="shared" si="1"/>
        <v>0</v>
      </c>
      <c r="G58" cm="1">
        <f t="array" ref="G58">1*OR(row_id=income_total_row, row_id=expenses_total_row, row_id=savings_total_row)</f>
        <v>0</v>
      </c>
      <c r="H58" s="3">
        <f t="shared" si="2"/>
        <v>1</v>
      </c>
      <c r="I58" s="2" t="str" cm="1">
        <f t="array" ref="I58">IFERROR(INDEX('Budget Planning'!$C:$C,header_row_id),"")</f>
        <v/>
      </c>
      <c r="J58" t="str" cm="1">
        <f t="array" ref="J58">IFERROR(INDEX('Budget Planning'!$C:$C,row_id),"")</f>
        <v/>
      </c>
      <c r="K58" s="44" t="str" cm="1">
        <f t="array" ref="K58">IF(OR(is_header,is_empty),"",IF(is_total,IF(selected_period="Total Year",SUMPRODUCT(Tracking[Amount],--(TRIM(Tracking[Type])=TRIM(type)),--(Tracking[Date]&gt;=DATE(selected_year,1,1)),--(Tracking[Date]&lt;DATE(selected_year+1,1,1))),SUMPRODUCT(Tracking[Amount],--(TRIM(Tracking[Type])=TRIM(type)),--(Tracking[Date]&gt;=DATE(selected_year,1,1)),--(Tracking[Date]&lt;DATE(selected_year+1,1,1)),--(MONTH(Tracking[Date])=selected_period))),IF(selected_period="Total Year",SUMPRODUCT(Tracking[Amount],--(TRIM(Tracking[Type])=TRIM(type)),--(TRIM(Tracking[Categories])=TRIM(item)),--(Tracking[Date]&gt;=DATE(selected_year,1,1)),--(Tracking[Date]&lt;DATE(selected_year+1,1,1))),SUMPRODUCT(Tracking[Amount],--(TRIM(Tracking[Type])=TRIM(type)),--(TRIM(Tracking[Categories])=TRIM(item)),--(Tracking[Date]&gt;=DATE(selected_year,1,1)),--(Tracking[Date]&lt;DATE(selected_year+1,1,1)),--(MONTH(Tracking[Date])=selected_period)))))</f>
        <v/>
      </c>
      <c r="L58" s="52" t="str" cm="1">
        <f t="array" ref="L58">IF(OR(is_header,is_empty),"",INDEX('Budget Planning'!$E:$FA,row_id,MATCH(IF(selected_period="Total Year",selected_year,DATE(selected_year,selected_period,1)),'Budget Planning'!$E$9:$FA$9,0)))</f>
        <v/>
      </c>
      <c r="M58" s="2" t="str" cm="1">
        <f t="array" ref="M58">IF(is_cat,IF(header_row_id=Income_header_row, MATCH(income_min_row,$C:$C,0),IF(header_row_id=expenses_header_row, MATCH(expenses_min_row,$C:$C,0),IF(header_row_id=savings_header_row, MATCH(savings_min_row,$C:$C,0),""))),"")</f>
        <v/>
      </c>
      <c r="N58" s="3" t="str" cm="1">
        <f t="array" ref="N58">IF(is_cat,IF(header_row_id=Income_header_row, MATCH(income_max_row,$C:$C,0),IF(header_row_id=expenses_header_row, MATCH(expenses_max_row,$C:$C,0),IF(header_row_id=savings_header_row, MATCH(savings_max_row,$C:$C,0),""))),"")</f>
        <v/>
      </c>
      <c r="O58" s="2" t="str">
        <f t="shared" si="3"/>
        <v/>
      </c>
      <c r="P58" t="str">
        <f t="shared" ca="1" si="4"/>
        <v/>
      </c>
      <c r="Q58" t="str">
        <f t="shared" si="5"/>
        <v/>
      </c>
      <c r="R58" s="3" t="str">
        <f t="shared" ca="1" si="6"/>
        <v/>
      </c>
      <c r="S58" s="2" t="str">
        <f t="shared" si="7"/>
        <v/>
      </c>
      <c r="T58" t="str">
        <f t="shared" si="8"/>
        <v/>
      </c>
      <c r="U58" t="str">
        <f t="shared" ca="1" si="9"/>
        <v/>
      </c>
      <c r="V58" t="str">
        <f t="shared" si="10"/>
        <v/>
      </c>
      <c r="W58" s="3" t="str">
        <f t="shared" ca="1" si="11"/>
        <v/>
      </c>
      <c r="X58" s="54">
        <f t="shared" si="12"/>
        <v>-1</v>
      </c>
      <c r="Y58" s="55" t="str">
        <f t="shared" si="13"/>
        <v/>
      </c>
      <c r="Z58" s="58" t="str">
        <f t="shared" si="14"/>
        <v/>
      </c>
      <c r="AA58" s="58" t="str">
        <f t="shared" si="15"/>
        <v/>
      </c>
      <c r="AB58" s="57" t="str">
        <f t="shared" si="16"/>
        <v/>
      </c>
      <c r="AC58" s="58" t="str">
        <f t="shared" si="17"/>
        <v/>
      </c>
      <c r="AD58" s="58" t="str">
        <f t="shared" si="18"/>
        <v/>
      </c>
    </row>
    <row r="59" spans="3:30" x14ac:dyDescent="0.25">
      <c r="C59" s="2" cm="1">
        <f t="array" ref="C59">IF(C58=-1,-1, IF(C58&lt;income_max_row,C58+1,IF(C58=income_max_row,income_total_row,IF(C58=income_total_row,"/1", IF(C58="/1",expenses_header_row,IF(C58&lt;expenses_max_row,C58+1,IF(C58=expenses_max_row,expenses_total_row,IF(C58=expenses_total_row,"/2",IF(C58="/2",savings_header_row,IF(C58&lt;savings_max_row,C58+1,IF(C58=savings_max_row,savings_total_row,-1)))))))))))</f>
        <v>-1</v>
      </c>
      <c r="D59" s="3">
        <f t="shared" si="0"/>
        <v>-1</v>
      </c>
      <c r="E59" s="2" cm="1">
        <f t="array" ref="E59">1*OR(row_id=Income_header_row, row_id=expenses_header_row, row_id=savings_header_row)</f>
        <v>0</v>
      </c>
      <c r="F59">
        <f t="shared" si="1"/>
        <v>0</v>
      </c>
      <c r="G59" cm="1">
        <f t="array" ref="G59">1*OR(row_id=income_total_row, row_id=expenses_total_row, row_id=savings_total_row)</f>
        <v>0</v>
      </c>
      <c r="H59" s="3">
        <f t="shared" si="2"/>
        <v>1</v>
      </c>
      <c r="I59" s="2" t="str" cm="1">
        <f t="array" ref="I59">IFERROR(INDEX('Budget Planning'!$C:$C,header_row_id),"")</f>
        <v/>
      </c>
      <c r="J59" t="str" cm="1">
        <f t="array" ref="J59">IFERROR(INDEX('Budget Planning'!$C:$C,row_id),"")</f>
        <v/>
      </c>
      <c r="K59" s="44" t="str" cm="1">
        <f t="array" ref="K59">IF(OR(is_header,is_empty),"",IF(is_total,IF(selected_period="Total Year",SUMPRODUCT(Tracking[Amount],--(TRIM(Tracking[Type])=TRIM(type)),--(Tracking[Date]&gt;=DATE(selected_year,1,1)),--(Tracking[Date]&lt;DATE(selected_year+1,1,1))),SUMPRODUCT(Tracking[Amount],--(TRIM(Tracking[Type])=TRIM(type)),--(Tracking[Date]&gt;=DATE(selected_year,1,1)),--(Tracking[Date]&lt;DATE(selected_year+1,1,1)),--(MONTH(Tracking[Date])=selected_period))),IF(selected_period="Total Year",SUMPRODUCT(Tracking[Amount],--(TRIM(Tracking[Type])=TRIM(type)),--(TRIM(Tracking[Categories])=TRIM(item)),--(Tracking[Date]&gt;=DATE(selected_year,1,1)),--(Tracking[Date]&lt;DATE(selected_year+1,1,1))),SUMPRODUCT(Tracking[Amount],--(TRIM(Tracking[Type])=TRIM(type)),--(TRIM(Tracking[Categories])=TRIM(item)),--(Tracking[Date]&gt;=DATE(selected_year,1,1)),--(Tracking[Date]&lt;DATE(selected_year+1,1,1)),--(MONTH(Tracking[Date])=selected_period)))))</f>
        <v/>
      </c>
      <c r="L59" s="52" t="str" cm="1">
        <f t="array" ref="L59">IF(OR(is_header,is_empty),"",INDEX('Budget Planning'!$E:$FA,row_id,MATCH(IF(selected_period="Total Year",selected_year,DATE(selected_year,selected_period,1)),'Budget Planning'!$E$9:$FA$9,0)))</f>
        <v/>
      </c>
      <c r="M59" s="2" t="str" cm="1">
        <f t="array" ref="M59">IF(is_cat,IF(header_row_id=Income_header_row, MATCH(income_min_row,$C:$C,0),IF(header_row_id=expenses_header_row, MATCH(expenses_min_row,$C:$C,0),IF(header_row_id=savings_header_row, MATCH(savings_min_row,$C:$C,0),""))),"")</f>
        <v/>
      </c>
      <c r="N59" s="3" t="str" cm="1">
        <f t="array" ref="N59">IF(is_cat,IF(header_row_id=Income_header_row, MATCH(income_max_row,$C:$C,0),IF(header_row_id=expenses_header_row, MATCH(expenses_max_row,$C:$C,0),IF(header_row_id=savings_header_row, MATCH(savings_max_row,$C:$C,0),""))),"")</f>
        <v/>
      </c>
      <c r="O59" s="2" t="str">
        <f t="shared" si="3"/>
        <v/>
      </c>
      <c r="P59" t="str">
        <f t="shared" ca="1" si="4"/>
        <v/>
      </c>
      <c r="Q59" t="str">
        <f t="shared" si="5"/>
        <v/>
      </c>
      <c r="R59" s="3" t="str">
        <f t="shared" ca="1" si="6"/>
        <v/>
      </c>
      <c r="S59" s="2" t="str">
        <f t="shared" si="7"/>
        <v/>
      </c>
      <c r="T59" t="str">
        <f t="shared" si="8"/>
        <v/>
      </c>
      <c r="U59" t="str">
        <f t="shared" ca="1" si="9"/>
        <v/>
      </c>
      <c r="V59" t="str">
        <f t="shared" si="10"/>
        <v/>
      </c>
      <c r="W59" s="3" t="str">
        <f t="shared" ca="1" si="11"/>
        <v/>
      </c>
      <c r="X59" s="54">
        <f t="shared" si="12"/>
        <v>-1</v>
      </c>
      <c r="Y59" s="55" t="str">
        <f t="shared" si="13"/>
        <v/>
      </c>
      <c r="Z59" s="58" t="str">
        <f t="shared" si="14"/>
        <v/>
      </c>
      <c r="AA59" s="58" t="str">
        <f t="shared" si="15"/>
        <v/>
      </c>
      <c r="AB59" s="57" t="str">
        <f t="shared" si="16"/>
        <v/>
      </c>
      <c r="AC59" s="58" t="str">
        <f t="shared" si="17"/>
        <v/>
      </c>
      <c r="AD59" s="58" t="str">
        <f t="shared" si="18"/>
        <v/>
      </c>
    </row>
    <row r="60" spans="3:30" x14ac:dyDescent="0.25">
      <c r="C60" s="2" cm="1">
        <f t="array" ref="C60">IF(C59=-1,-1, IF(C59&lt;income_max_row,C59+1,IF(C59=income_max_row,income_total_row,IF(C59=income_total_row,"/1", IF(C59="/1",expenses_header_row,IF(C59&lt;expenses_max_row,C59+1,IF(C59=expenses_max_row,expenses_total_row,IF(C59=expenses_total_row,"/2",IF(C59="/2",savings_header_row,IF(C59&lt;savings_max_row,C59+1,IF(C59=savings_max_row,savings_total_row,-1)))))))))))</f>
        <v>-1</v>
      </c>
      <c r="D60" s="3">
        <f t="shared" si="0"/>
        <v>-1</v>
      </c>
      <c r="E60" s="2" cm="1">
        <f t="array" ref="E60">1*OR(row_id=Income_header_row, row_id=expenses_header_row, row_id=savings_header_row)</f>
        <v>0</v>
      </c>
      <c r="F60">
        <f t="shared" si="1"/>
        <v>0</v>
      </c>
      <c r="G60" cm="1">
        <f t="array" ref="G60">1*OR(row_id=income_total_row, row_id=expenses_total_row, row_id=savings_total_row)</f>
        <v>0</v>
      </c>
      <c r="H60" s="3">
        <f t="shared" si="2"/>
        <v>1</v>
      </c>
      <c r="I60" s="2" t="str" cm="1">
        <f t="array" ref="I60">IFERROR(INDEX('Budget Planning'!$C:$C,header_row_id),"")</f>
        <v/>
      </c>
      <c r="J60" t="str" cm="1">
        <f t="array" ref="J60">IFERROR(INDEX('Budget Planning'!$C:$C,row_id),"")</f>
        <v/>
      </c>
      <c r="K60" s="44" t="str" cm="1">
        <f t="array" ref="K60">IF(OR(is_header,is_empty),"",IF(is_total,IF(selected_period="Total Year",SUMPRODUCT(Tracking[Amount],--(TRIM(Tracking[Type])=TRIM(type)),--(Tracking[Date]&gt;=DATE(selected_year,1,1)),--(Tracking[Date]&lt;DATE(selected_year+1,1,1))),SUMPRODUCT(Tracking[Amount],--(TRIM(Tracking[Type])=TRIM(type)),--(Tracking[Date]&gt;=DATE(selected_year,1,1)),--(Tracking[Date]&lt;DATE(selected_year+1,1,1)),--(MONTH(Tracking[Date])=selected_period))),IF(selected_period="Total Year",SUMPRODUCT(Tracking[Amount],--(TRIM(Tracking[Type])=TRIM(type)),--(TRIM(Tracking[Categories])=TRIM(item)),--(Tracking[Date]&gt;=DATE(selected_year,1,1)),--(Tracking[Date]&lt;DATE(selected_year+1,1,1))),SUMPRODUCT(Tracking[Amount],--(TRIM(Tracking[Type])=TRIM(type)),--(TRIM(Tracking[Categories])=TRIM(item)),--(Tracking[Date]&gt;=DATE(selected_year,1,1)),--(Tracking[Date]&lt;DATE(selected_year+1,1,1)),--(MONTH(Tracking[Date])=selected_period)))))</f>
        <v/>
      </c>
      <c r="L60" s="52" t="str" cm="1">
        <f t="array" ref="L60">IF(OR(is_header,is_empty),"",INDEX('Budget Planning'!$E:$FA,row_id,MATCH(IF(selected_period="Total Year",selected_year,DATE(selected_year,selected_period,1)),'Budget Planning'!$E$9:$FA$9,0)))</f>
        <v/>
      </c>
      <c r="M60" s="2" t="str" cm="1">
        <f t="array" ref="M60">IF(is_cat,IF(header_row_id=Income_header_row, MATCH(income_min_row,$C:$C,0),IF(header_row_id=expenses_header_row, MATCH(expenses_min_row,$C:$C,0),IF(header_row_id=savings_header_row, MATCH(savings_min_row,$C:$C,0),""))),"")</f>
        <v/>
      </c>
      <c r="N60" s="3" t="str" cm="1">
        <f t="array" ref="N60">IF(is_cat,IF(header_row_id=Income_header_row, MATCH(income_max_row,$C:$C,0),IF(header_row_id=expenses_header_row, MATCH(expenses_max_row,$C:$C,0),IF(header_row_id=savings_header_row, MATCH(savings_max_row,$C:$C,0),""))),"")</f>
        <v/>
      </c>
      <c r="O60" s="2" t="str">
        <f t="shared" si="3"/>
        <v/>
      </c>
      <c r="P60" t="str">
        <f t="shared" ca="1" si="4"/>
        <v/>
      </c>
      <c r="Q60" t="str">
        <f t="shared" si="5"/>
        <v/>
      </c>
      <c r="R60" s="3" t="str">
        <f t="shared" ca="1" si="6"/>
        <v/>
      </c>
      <c r="S60" s="2" t="str">
        <f t="shared" si="7"/>
        <v/>
      </c>
      <c r="T60" t="str">
        <f t="shared" si="8"/>
        <v/>
      </c>
      <c r="U60" t="str">
        <f t="shared" ca="1" si="9"/>
        <v/>
      </c>
      <c r="V60" t="str">
        <f t="shared" si="10"/>
        <v/>
      </c>
      <c r="W60" s="3" t="str">
        <f t="shared" ca="1" si="11"/>
        <v/>
      </c>
      <c r="X60" s="54">
        <f t="shared" si="12"/>
        <v>-1</v>
      </c>
      <c r="Y60" s="55" t="str">
        <f t="shared" si="13"/>
        <v/>
      </c>
      <c r="Z60" s="58" t="str">
        <f t="shared" si="14"/>
        <v/>
      </c>
      <c r="AA60" s="58" t="str">
        <f t="shared" si="15"/>
        <v/>
      </c>
      <c r="AB60" s="57" t="str">
        <f t="shared" si="16"/>
        <v/>
      </c>
      <c r="AC60" s="58" t="str">
        <f t="shared" si="17"/>
        <v/>
      </c>
      <c r="AD60" s="58" t="str">
        <f t="shared" si="18"/>
        <v/>
      </c>
    </row>
    <row r="61" spans="3:30" x14ac:dyDescent="0.25">
      <c r="Y61" s="55"/>
      <c r="Z61" s="58"/>
      <c r="AA61" s="58"/>
      <c r="AB61" s="56"/>
      <c r="AC61" s="58"/>
      <c r="AD61" s="58"/>
    </row>
    <row r="62" spans="3:30" x14ac:dyDescent="0.25">
      <c r="Y62" s="55"/>
      <c r="Z62" s="58"/>
      <c r="AA62" s="58"/>
      <c r="AB62" s="56"/>
      <c r="AC62" s="56"/>
      <c r="AD62" s="56"/>
    </row>
    <row r="63" spans="3:30" x14ac:dyDescent="0.25">
      <c r="Y63" s="55"/>
      <c r="Z63" s="56"/>
      <c r="AA63" s="56"/>
      <c r="AB63" s="56"/>
      <c r="AC63" s="56"/>
      <c r="AD63" s="56"/>
    </row>
    <row r="64" spans="3:30" x14ac:dyDescent="0.25">
      <c r="Y64" s="55"/>
      <c r="Z64" s="56"/>
      <c r="AA64" s="56"/>
      <c r="AB64" s="56"/>
      <c r="AC64" s="56"/>
      <c r="AD64" s="56"/>
    </row>
  </sheetData>
  <mergeCells count="10">
    <mergeCell ref="A1:XFD3"/>
    <mergeCell ref="C11:X11"/>
    <mergeCell ref="Y11:AD11"/>
    <mergeCell ref="AF11:AR11"/>
    <mergeCell ref="AQ5:AR5"/>
    <mergeCell ref="AQ6:AR6"/>
    <mergeCell ref="AN6:AP6"/>
    <mergeCell ref="AQ8:AR8"/>
    <mergeCell ref="AN9:AP9"/>
    <mergeCell ref="AQ9:AR9"/>
  </mergeCells>
  <conditionalFormatting sqref="Y13:AD61">
    <cfRule type="expression" dxfId="24" priority="19" stopIfTrue="1">
      <formula>row_id=Income_header_row</formula>
    </cfRule>
    <cfRule type="expression" dxfId="23" priority="20" stopIfTrue="1">
      <formula>row_id=expenses_header_row</formula>
    </cfRule>
    <cfRule type="expression" dxfId="22" priority="21" stopIfTrue="1">
      <formula>row_id=savings_header_row</formula>
    </cfRule>
    <cfRule type="expression" dxfId="21" priority="22" stopIfTrue="1">
      <formula>is_total</formula>
    </cfRule>
  </conditionalFormatting>
  <conditionalFormatting sqref="AB13:AB61">
    <cfRule type="expression" dxfId="20" priority="23" stopIfTrue="1">
      <formula>AND(OR(is_cat,is_total), out_budget&gt;0, out_percentage_completed&gt;=1,header_row_id=Income_header_row)</formula>
    </cfRule>
    <cfRule type="expression" dxfId="19" priority="24" stopIfTrue="1">
      <formula>AND(OR(is_cat,is_total), out_budget&gt;0, out_percentage_completed&gt;=1,header_row_id=expenses_header_row)</formula>
    </cfRule>
    <cfRule type="expression" dxfId="18" priority="25" stopIfTrue="1">
      <formula>AND(OR(is_cat,is_total), out_budget&gt;0, out_percentage_completed&gt;=1,header_row_id=savings_header_row)</formula>
    </cfRule>
    <cfRule type="dataBar" priority="26">
      <dataBar>
        <cfvo type="num" val="0"/>
        <cfvo type="num" val="1"/>
        <color theme="0" tint="-0.14999847407452621"/>
      </dataBar>
      <extLst>
        <ext xmlns:x14="http://schemas.microsoft.com/office/spreadsheetml/2009/9/main" uri="{B025F937-C7B1-47D3-B67F-A62EFF666E3E}">
          <x14:id>{9F0EA58A-96CE-4F9B-9D93-B3F00BA63038}</x14:id>
        </ext>
      </extLst>
    </cfRule>
  </conditionalFormatting>
  <conditionalFormatting sqref="AH17">
    <cfRule type="expression" dxfId="17" priority="13">
      <formula>AI17&lt;&gt;""</formula>
    </cfRule>
  </conditionalFormatting>
  <conditionalFormatting sqref="AH18">
    <cfRule type="expression" dxfId="16" priority="14">
      <formula>AI18&lt;&gt;""</formula>
    </cfRule>
  </conditionalFormatting>
  <conditionalFormatting sqref="AH19">
    <cfRule type="expression" dxfId="15" priority="15">
      <formula>AI19&lt;&gt;""</formula>
    </cfRule>
  </conditionalFormatting>
  <conditionalFormatting sqref="AH20">
    <cfRule type="expression" dxfId="14" priority="16">
      <formula>AI20&lt;&gt;""</formula>
    </cfRule>
  </conditionalFormatting>
  <conditionalFormatting sqref="AH21">
    <cfRule type="expression" dxfId="13" priority="17">
      <formula>AI21&lt;&gt;""</formula>
    </cfRule>
  </conditionalFormatting>
  <conditionalFormatting sqref="AH22">
    <cfRule type="expression" dxfId="12" priority="18">
      <formula>AI22&lt;&gt;""</formula>
    </cfRule>
  </conditionalFormatting>
  <conditionalFormatting sqref="AH30">
    <cfRule type="expression" dxfId="11" priority="7">
      <formula>AI30&lt;&gt;""</formula>
    </cfRule>
  </conditionalFormatting>
  <conditionalFormatting sqref="AH31">
    <cfRule type="expression" dxfId="10" priority="8">
      <formula>AI31&lt;&gt;""</formula>
    </cfRule>
  </conditionalFormatting>
  <conditionalFormatting sqref="AH32">
    <cfRule type="expression" dxfId="9" priority="9">
      <formula>AI32&lt;&gt;""</formula>
    </cfRule>
  </conditionalFormatting>
  <conditionalFormatting sqref="AH33">
    <cfRule type="expression" dxfId="8" priority="10">
      <formula>AI33&lt;&gt;""</formula>
    </cfRule>
  </conditionalFormatting>
  <conditionalFormatting sqref="AH34">
    <cfRule type="expression" dxfId="7" priority="11">
      <formula>AI34&lt;&gt;""</formula>
    </cfRule>
  </conditionalFormatting>
  <conditionalFormatting sqref="AH35">
    <cfRule type="expression" dxfId="6" priority="12">
      <formula>AI35&lt;&gt;""</formula>
    </cfRule>
  </conditionalFormatting>
  <conditionalFormatting sqref="AO30">
    <cfRule type="expression" dxfId="5" priority="1">
      <formula>AP30&lt;&gt;""</formula>
    </cfRule>
  </conditionalFormatting>
  <conditionalFormatting sqref="AO31">
    <cfRule type="expression" dxfId="4" priority="2">
      <formula>AP31&lt;&gt;""</formula>
    </cfRule>
  </conditionalFormatting>
  <conditionalFormatting sqref="AO32">
    <cfRule type="expression" dxfId="3" priority="3">
      <formula>AP32&lt;&gt;""</formula>
    </cfRule>
  </conditionalFormatting>
  <conditionalFormatting sqref="AO33">
    <cfRule type="expression" dxfId="2" priority="4">
      <formula>AP33&lt;&gt;""</formula>
    </cfRule>
  </conditionalFormatting>
  <conditionalFormatting sqref="AO34">
    <cfRule type="expression" dxfId="1" priority="5">
      <formula>AP34&lt;&gt;""</formula>
    </cfRule>
  </conditionalFormatting>
  <conditionalFormatting sqref="AO35">
    <cfRule type="expression" dxfId="0" priority="6">
      <formula>AP35&lt;&gt;""</formula>
    </cfRule>
  </conditionalFormatting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5" r:id="rId4" name="Check Box 3">
              <controlPr defaultSize="0" autoFill="0" autoLine="0" autoPict="0">
                <anchor moveWithCells="1">
                  <from>
                    <xdr:col>42</xdr:col>
                    <xdr:colOff>219075</xdr:colOff>
                    <xdr:row>12</xdr:row>
                    <xdr:rowOff>152400</xdr:rowOff>
                  </from>
                  <to>
                    <xdr:col>43</xdr:col>
                    <xdr:colOff>219075</xdr:colOff>
                    <xdr:row>13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5" name="Check Box 4">
              <controlPr defaultSize="0" autoFill="0" autoLine="0" autoPict="0">
                <anchor moveWithCells="1">
                  <from>
                    <xdr:col>41</xdr:col>
                    <xdr:colOff>371475</xdr:colOff>
                    <xdr:row>13</xdr:row>
                    <xdr:rowOff>171450</xdr:rowOff>
                  </from>
                  <to>
                    <xdr:col>41</xdr:col>
                    <xdr:colOff>981075</xdr:colOff>
                    <xdr:row>14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6" name="Check Box 5">
              <controlPr defaultSize="0" autoFill="0" autoLine="0" autoPict="0">
                <anchor moveWithCells="1">
                  <from>
                    <xdr:col>42</xdr:col>
                    <xdr:colOff>228600</xdr:colOff>
                    <xdr:row>13</xdr:row>
                    <xdr:rowOff>171450</xdr:rowOff>
                  </from>
                  <to>
                    <xdr:col>43</xdr:col>
                    <xdr:colOff>228600</xdr:colOff>
                    <xdr:row>14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7" name="Check Box 6">
              <controlPr defaultSize="0" autoFill="0" autoLine="0" autoPict="0">
                <anchor moveWithCells="1">
                  <from>
                    <xdr:col>41</xdr:col>
                    <xdr:colOff>361950</xdr:colOff>
                    <xdr:row>12</xdr:row>
                    <xdr:rowOff>152400</xdr:rowOff>
                  </from>
                  <to>
                    <xdr:col>41</xdr:col>
                    <xdr:colOff>971550</xdr:colOff>
                    <xdr:row>13</xdr:row>
                    <xdr:rowOff>104775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F0EA58A-96CE-4F9B-9D93-B3F00BA6303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AB13:AB61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C5039CA-CDEC-4C97-BDF4-954460298961}">
          <x14:formula1>
            <xm:f>'Dropdown Data'!$C$8:$C$18</xm:f>
          </x14:formula1>
          <xm:sqref>AQ6:AR6</xm:sqref>
        </x14:dataValidation>
        <x14:dataValidation type="list" allowBlank="1" showInputMessage="1" showErrorMessage="1" xr:uid="{95E4DBCD-D887-47B3-BFA4-435AF2C12CB1}">
          <x14:formula1>
            <xm:f>'Dropdown Data'!$E$8:$E$21</xm:f>
          </x14:formula1>
          <xm:sqref>AQ9:AR9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7E29B-0058-4EDE-A6E7-1A4613D185B6}">
  <dimension ref="A1:R105"/>
  <sheetViews>
    <sheetView showGridLines="0" topLeftCell="A40" workbookViewId="0">
      <selection activeCell="E27" sqref="E27"/>
    </sheetView>
  </sheetViews>
  <sheetFormatPr defaultRowHeight="15" x14ac:dyDescent="0.25"/>
  <cols>
    <col min="3" max="3" width="2.42578125" customWidth="1"/>
    <col min="4" max="4" width="24.85546875" bestFit="1" customWidth="1"/>
    <col min="5" max="5" width="20.42578125" customWidth="1"/>
    <col min="6" max="6" width="12.7109375" customWidth="1"/>
    <col min="7" max="7" width="8.42578125" bestFit="1" customWidth="1"/>
    <col min="8" max="8" width="14.5703125" customWidth="1"/>
    <col min="9" max="9" width="22.7109375" customWidth="1"/>
    <col min="10" max="11" width="13.140625" bestFit="1" customWidth="1"/>
    <col min="12" max="12" width="16.7109375" customWidth="1"/>
    <col min="13" max="13" width="20.42578125" customWidth="1"/>
    <col min="14" max="15" width="18.140625" customWidth="1"/>
    <col min="16" max="16" width="20.42578125" customWidth="1"/>
    <col min="17" max="18" width="18.140625" customWidth="1"/>
  </cols>
  <sheetData>
    <row r="1" spans="1:6" s="118" customFormat="1" x14ac:dyDescent="0.25">
      <c r="A1" s="117" t="s">
        <v>46</v>
      </c>
    </row>
    <row r="2" spans="1:6" s="118" customFormat="1" x14ac:dyDescent="0.25"/>
    <row r="3" spans="1:6" s="118" customFormat="1" x14ac:dyDescent="0.25"/>
    <row r="6" spans="1:6" x14ac:dyDescent="0.25">
      <c r="C6" s="119" t="s">
        <v>66</v>
      </c>
      <c r="D6" s="120"/>
      <c r="E6" s="120"/>
      <c r="F6" s="120"/>
    </row>
    <row r="8" spans="1:6" x14ac:dyDescent="0.25">
      <c r="D8" s="7" t="s">
        <v>47</v>
      </c>
      <c r="E8" s="30">
        <f ca="1">TODAY()</f>
        <v>46132</v>
      </c>
    </row>
    <row r="9" spans="1:6" x14ac:dyDescent="0.25">
      <c r="D9" s="7" t="s">
        <v>48</v>
      </c>
      <c r="E9" s="30">
        <f>MAX(Tracking[Date])</f>
        <v>46093</v>
      </c>
    </row>
    <row r="10" spans="1:6" x14ac:dyDescent="0.25">
      <c r="D10" s="7" t="s">
        <v>49</v>
      </c>
      <c r="E10" s="31" t="str">
        <f ca="1">IF(E9=0,"","("&amp;_xlfn.DAYS(E8,E9)&amp;" Days Ago)")</f>
        <v>(39 Days Ago)</v>
      </c>
    </row>
    <row r="11" spans="1:6" x14ac:dyDescent="0.25">
      <c r="D11" s="7" t="s">
        <v>50</v>
      </c>
      <c r="E11">
        <f>COUNT(Tracking[Date])</f>
        <v>37</v>
      </c>
    </row>
    <row r="12" spans="1:6" x14ac:dyDescent="0.25">
      <c r="D12" s="7" t="s">
        <v>51</v>
      </c>
      <c r="E12" s="31" t="str" cm="1">
        <f t="array" aca="1" ref="E12" ca="1" xml:space="preserve"> "(" &amp; SUMPRODUCT(--(YEAR(Tracking[Date])=YEAR(TODAY()))) &amp; " this year)"</f>
        <v>(37 this year)</v>
      </c>
    </row>
    <row r="13" spans="1:6" x14ac:dyDescent="0.25">
      <c r="D13" s="7" t="s">
        <v>52</v>
      </c>
      <c r="E13" s="32">
        <f>_xlfn.IFNA(INDEX(Tracking[Balance],MATCH(Calculations!E9,Tracking[Date],0)),"-")</f>
        <v>114723</v>
      </c>
    </row>
    <row r="14" spans="1:6" x14ac:dyDescent="0.25">
      <c r="D14" s="7" t="s">
        <v>53</v>
      </c>
      <c r="E14" t="str">
        <f>IF(E13&gt;=0,"of tracked income left to be allocated","allocated not covered by income")</f>
        <v>of tracked income left to be allocated</v>
      </c>
    </row>
    <row r="17" spans="3:14" x14ac:dyDescent="0.25">
      <c r="C17" s="119" t="s">
        <v>67</v>
      </c>
      <c r="D17" s="120"/>
      <c r="E17" s="120"/>
      <c r="F17" s="120"/>
    </row>
    <row r="18" spans="3:14" x14ac:dyDescent="0.25">
      <c r="D18" s="82"/>
    </row>
    <row r="19" spans="3:14" x14ac:dyDescent="0.25">
      <c r="D19" s="83" t="s">
        <v>68</v>
      </c>
      <c r="E19" cm="1">
        <f t="array" aca="1" ref="E19" ca="1">IF('Budget Dashboard'!$AQ$6="Current Year", YEAR(curren_date),'Budget Dashboard'!$AQ$6)</f>
        <v>2026</v>
      </c>
    </row>
    <row r="20" spans="3:14" x14ac:dyDescent="0.25">
      <c r="D20" s="84" t="s">
        <v>69</v>
      </c>
      <c r="E20" s="80" t="str" cm="1">
        <f t="array" ref="E20">IF('Budget Dashboard'!$AQ$9="Total Year","Total Year", IF('Budget Dashboard'!$AQ$9="Current Month", MONTH(curren_date),MONTH('Budget Dashboard'!$AQ$9)))</f>
        <v>Total Year</v>
      </c>
    </row>
    <row r="21" spans="3:14" x14ac:dyDescent="0.25">
      <c r="D21" s="83" t="s">
        <v>70</v>
      </c>
      <c r="E21" s="40" t="str">
        <f>IF(selected_period="Total Year","Total Year",TEXT(DATE(selected_year,selected_period,1),"mmmm"))</f>
        <v>Total Year</v>
      </c>
    </row>
    <row r="22" spans="3:14" x14ac:dyDescent="0.25">
      <c r="D22" s="83" t="s">
        <v>114</v>
      </c>
      <c r="E22">
        <f ca="1">IF(selected_period="Total Year",DATE(selected_year,12,31)-DATE(selected_year-1,12,31),DAY(EOMONTH(DATE(selected_year,selected_period,1),0)))</f>
        <v>365</v>
      </c>
    </row>
    <row r="23" spans="3:14" x14ac:dyDescent="0.25">
      <c r="D23" s="83" t="s">
        <v>115</v>
      </c>
      <c r="E23" cm="1">
        <f t="array" aca="1" ref="E23" ca="1">IF(selected_year=YEAR(curren_date),IF(selected_period="Total Year",curren_date-DATE(selected_year-1,12,31),IF(selected_period=MONTH(curren_date),DAY(curren_date),IF(selected_period&lt;MONTH(curren_date),E22,0))),IF(selected_year&lt;YEAR(curren_date),E22,0))</f>
        <v>110</v>
      </c>
    </row>
    <row r="24" spans="3:14" x14ac:dyDescent="0.25">
      <c r="D24" s="83" t="s">
        <v>116</v>
      </c>
      <c r="E24" s="81">
        <f ca="1">E23/E22</f>
        <v>0.30136986301369861</v>
      </c>
    </row>
    <row r="25" spans="3:14" x14ac:dyDescent="0.25">
      <c r="D25" s="83" t="s">
        <v>117</v>
      </c>
      <c r="E25">
        <f ca="1">F41-(J41+N41)</f>
        <v>114723</v>
      </c>
    </row>
    <row r="26" spans="3:14" x14ac:dyDescent="0.25">
      <c r="D26" s="83" t="s">
        <v>53</v>
      </c>
      <c r="E26" t="str">
        <f ca="1">IF(E25&gt;=0,"of tracked income left to be allocated","allocated not covered by income")</f>
        <v>of tracked income left to be allocated</v>
      </c>
    </row>
    <row r="27" spans="3:14" x14ac:dyDescent="0.25">
      <c r="D27" s="83" t="s">
        <v>118</v>
      </c>
      <c r="E27" s="85">
        <f ca="1">IFERROR(IF(savings_rate_calculation_type="% allocated to Savings",N41/F41,(F41-J41)/F41),"")</f>
        <v>0.35125360103659536</v>
      </c>
    </row>
    <row r="32" spans="3:14" x14ac:dyDescent="0.25">
      <c r="D32" s="64" t="s">
        <v>94</v>
      </c>
      <c r="E32" s="63"/>
      <c r="F32" s="63"/>
      <c r="G32" s="63"/>
      <c r="H32" s="63"/>
      <c r="I32" s="63"/>
      <c r="J32" s="63"/>
      <c r="K32" s="63"/>
      <c r="L32" s="63"/>
      <c r="M32" s="63"/>
      <c r="N32" s="63"/>
    </row>
    <row r="34" spans="4:14" x14ac:dyDescent="0.25">
      <c r="D34" s="65" t="s">
        <v>0</v>
      </c>
      <c r="E34" s="65" t="s">
        <v>95</v>
      </c>
      <c r="F34" s="65" t="s">
        <v>40</v>
      </c>
      <c r="H34" s="65" t="s">
        <v>42</v>
      </c>
      <c r="I34" s="65" t="s">
        <v>95</v>
      </c>
      <c r="J34" s="65" t="s">
        <v>40</v>
      </c>
      <c r="L34" s="65" t="s">
        <v>43</v>
      </c>
      <c r="M34" s="65" t="s">
        <v>95</v>
      </c>
      <c r="N34" s="65" t="s">
        <v>40</v>
      </c>
    </row>
    <row r="35" spans="4:14" x14ac:dyDescent="0.25">
      <c r="D35" s="1">
        <v>1</v>
      </c>
      <c r="E35" s="1" t="str" cm="1">
        <f t="array" aca="1" ref="E35" ca="1">IF(F35="","",INDEX('Budget Dashboard'!$J:$J, MATCH(Income_header_row + Calculations!D35, 'Budget Dashboard'!$X:$X, 0)))</f>
        <v>Salary (Net)</v>
      </c>
      <c r="F35" s="67" cm="1">
        <f t="array" aca="1" ref="F35" ca="1">IF(D35&gt;COUNTA(Income[]), "",
  IF(INDEX('Budget Dashboard'!$K:$K, MATCH(Income_header_row + Calculations!D35, 'Budget Dashboard'!$X:$X, 0))=0, "",
  INDEX('Budget Dashboard'!$K:$K, MATCH(Income_header_row + Calculations!D35, 'Budget Dashboard'!$X:$X, 0))))</f>
        <v>143954</v>
      </c>
      <c r="H35" s="1">
        <v>1</v>
      </c>
      <c r="I35" s="1" t="str" cm="1">
        <f t="array" aca="1" ref="I35" ca="1">IF(J35="","",INDEX('Budget Dashboard'!$J:$J, MATCH(expenses_header_row + Calculations!H35, 'Budget Dashboard'!$X:$X, 0)))</f>
        <v>Groceries</v>
      </c>
      <c r="J35" s="67" cm="1">
        <f t="array" aca="1" ref="J35" ca="1">IF(H35&gt;COUNTA(Expenses[]), "",
  IF(INDEX('Budget Dashboard'!$K:$K, MATCH(expenses_header_row + Calculations!H35, 'Budget Dashboard'!$X:$X, 0))=0, "",
  INDEX('Budget Dashboard'!$K:$K, MATCH(expenses_header_row + Calculations!H35, 'Budget Dashboard'!$X:$X, 0))))</f>
        <v>45830</v>
      </c>
      <c r="L35" s="1">
        <v>1</v>
      </c>
      <c r="M35" s="1" t="str" cm="1">
        <f t="array" aca="1" ref="M35" ca="1">IF(N35="","",INDEX('Budget Dashboard'!$J:$J, MATCH(savings_header_row + Calculations!L35, 'Budget Dashboard'!$X:$X, 0)))</f>
        <v>Emergency Fund</v>
      </c>
      <c r="N35" s="67" cm="1">
        <f t="array" aca="1" ref="N35" ca="1">IF(L35&gt;COUNTA(Savings[]), "",
  IF(INDEX('Budget Dashboard'!$K:$K, MATCH(savings_header_row + Calculations!L35, 'Budget Dashboard'!$X:$X, 0))=0, "",
  INDEX('Budget Dashboard'!$K:$K, MATCH(savings_header_row + Calculations!L35, 'Budget Dashboard'!$X:$X, 0))))</f>
        <v>50000</v>
      </c>
    </row>
    <row r="36" spans="4:14" x14ac:dyDescent="0.25">
      <c r="D36" s="1">
        <v>2</v>
      </c>
      <c r="E36" s="1" t="str" cm="1">
        <f t="array" aca="1" ref="E36" ca="1">IF(F36="","",INDEX('Budget Dashboard'!$J:$J, MATCH(Income_header_row + Calculations!D36, 'Budget Dashboard'!$X:$X, 0)))</f>
        <v>Side Hustle (Net)</v>
      </c>
      <c r="F36" s="67" cm="1">
        <f t="array" aca="1" ref="F36" ca="1">IF(D36&gt;COUNTA(Income[]), "",
  IF(INDEX('Budget Dashboard'!$K:$K, MATCH(Income_header_row + Calculations!D36, 'Budget Dashboard'!$X:$X, 0))=0, "",
  INDEX('Budget Dashboard'!$K:$K, MATCH(Income_header_row + Calculations!D36, 'Budget Dashboard'!$X:$X, 0))))</f>
        <v>103163</v>
      </c>
      <c r="H36" s="1">
        <v>2</v>
      </c>
      <c r="I36" s="1" t="str" cm="1">
        <f t="array" aca="1" ref="I36" ca="1">IF(J36="","",INDEX('Budget Dashboard'!$J:$J, MATCH(expenses_header_row + Calculations!H36, 'Budget Dashboard'!$X:$X, 0)))</f>
        <v>Rent</v>
      </c>
      <c r="J36" s="67" cm="1">
        <f t="array" aca="1" ref="J36" ca="1">IF(H36&gt;COUNTA(Expenses[]), "",
  IF(INDEX('Budget Dashboard'!$K:$K, MATCH(expenses_header_row + Calculations!H36, 'Budget Dashboard'!$X:$X, 0))=0, "",
  INDEX('Budget Dashboard'!$K:$K, MATCH(expenses_header_row + Calculations!H36, 'Budget Dashboard'!$X:$X, 0))))</f>
        <v>25000</v>
      </c>
      <c r="L36" s="1">
        <v>2</v>
      </c>
      <c r="M36" s="1" t="str" cm="1">
        <f t="array" aca="1" ref="M36" ca="1">IF(N36="","",INDEX('Budget Dashboard'!$J:$J, MATCH(savings_header_row + Calculations!L36, 'Budget Dashboard'!$X:$X, 0)))</f>
        <v>Mcleodganj Trip Fund</v>
      </c>
      <c r="N36" s="67" cm="1">
        <f t="array" aca="1" ref="N36" ca="1">IF(L36&gt;COUNTA(Savings[]), "",
  IF(INDEX('Budget Dashboard'!$K:$K, MATCH(savings_header_row + Calculations!L36, 'Budget Dashboard'!$X:$X, 0))=0, "",
  INDEX('Budget Dashboard'!$K:$K, MATCH(savings_header_row + Calculations!L36, 'Budget Dashboard'!$X:$X, 0))))</f>
        <v>35000</v>
      </c>
    </row>
    <row r="37" spans="4:14" x14ac:dyDescent="0.25">
      <c r="D37" s="1">
        <v>3</v>
      </c>
      <c r="E37" s="1" t="str" cm="1">
        <f t="array" aca="1" ref="E37" ca="1">IF(F37="","",INDEX('Budget Dashboard'!$J:$J, MATCH(Income_header_row + Calculations!D37, 'Budget Dashboard'!$X:$X, 0)))</f>
        <v>Freelance (Net)</v>
      </c>
      <c r="F37" s="67" cm="1">
        <f t="array" aca="1" ref="F37" ca="1">IF(D37&gt;COUNTA(Income[]), "",
  IF(INDEX('Budget Dashboard'!$K:$K, MATCH(Income_header_row + Calculations!D37, 'Budget Dashboard'!$X:$X, 0))=0, "",
  INDEX('Budget Dashboard'!$K:$K, MATCH(Income_header_row + Calculations!D37, 'Budget Dashboard'!$X:$X, 0))))</f>
        <v>50897</v>
      </c>
      <c r="H37" s="1">
        <v>3</v>
      </c>
      <c r="I37" s="1" t="str" cm="1">
        <f t="array" aca="1" ref="I37" ca="1">IF(J37="","",INDEX('Budget Dashboard'!$J:$J, MATCH(expenses_header_row + Calculations!H37, 'Budget Dashboard'!$X:$X, 0)))</f>
        <v>Fuel</v>
      </c>
      <c r="J37" s="67" cm="1">
        <f t="array" aca="1" ref="J37" ca="1">IF(H37&gt;COUNTA(Expenses[]), "",
  IF(INDEX('Budget Dashboard'!$K:$K, MATCH(expenses_header_row + Calculations!H37, 'Budget Dashboard'!$X:$X, 0))=0, "",
  INDEX('Budget Dashboard'!$K:$K, MATCH(expenses_header_row + Calculations!H37, 'Budget Dashboard'!$X:$X, 0))))</f>
        <v>7500</v>
      </c>
      <c r="L37" s="1">
        <v>3</v>
      </c>
      <c r="M37" s="1" t="str" cm="1">
        <f t="array" aca="1" ref="M37" ca="1">IF(N37="","",INDEX('Budget Dashboard'!$J:$J, MATCH(savings_header_row + Calculations!L37, 'Budget Dashboard'!$X:$X, 0)))</f>
        <v>Coorg Trip Fund</v>
      </c>
      <c r="N37" s="67" cm="1">
        <f t="array" aca="1" ref="N37" ca="1">IF(L37&gt;COUNTA(Savings[]), "",
  IF(INDEX('Budget Dashboard'!$K:$K, MATCH(savings_header_row + Calculations!L37, 'Budget Dashboard'!$X:$X, 0))=0, "",
  INDEX('Budget Dashboard'!$K:$K, MATCH(savings_header_row + Calculations!L37, 'Budget Dashboard'!$X:$X, 0))))</f>
        <v>15000</v>
      </c>
    </row>
    <row r="38" spans="4:14" x14ac:dyDescent="0.25">
      <c r="D38" s="1">
        <v>4</v>
      </c>
      <c r="E38" s="1" t="str" cm="1">
        <f t="array" aca="1" ref="E38" ca="1">IF(F38="","",INDEX('Budget Dashboard'!$J:$J, MATCH(Income_header_row + Calculations!D38, 'Budget Dashboard'!$X:$X, 0)))</f>
        <v>Dividends (Net)</v>
      </c>
      <c r="F38" s="67" cm="1">
        <f t="array" aca="1" ref="F38" ca="1">IF(D38&gt;COUNTA(Income[]), "",
  IF(INDEX('Budget Dashboard'!$K:$K, MATCH(Income_header_row + Calculations!D38, 'Budget Dashboard'!$X:$X, 0))=0, "",
  INDEX('Budget Dashboard'!$K:$K, MATCH(Income_header_row + Calculations!D38, 'Budget Dashboard'!$X:$X, 0))))</f>
        <v>19950</v>
      </c>
      <c r="H38" s="1">
        <v>4</v>
      </c>
      <c r="I38" s="1" t="str" cm="1">
        <f t="array" aca="1" ref="I38" ca="1">IF(J38="","",INDEX('Budget Dashboard'!$J:$J, MATCH(expenses_header_row + Calculations!H38, 'Budget Dashboard'!$X:$X, 0)))</f>
        <v>Fun &amp; Vacation</v>
      </c>
      <c r="J38" s="67" cm="1">
        <f t="array" aca="1" ref="J38" ca="1">IF(H38&gt;COUNTA(Expenses[]), "",
  IF(INDEX('Budget Dashboard'!$K:$K, MATCH(expenses_header_row + Calculations!H38, 'Budget Dashboard'!$X:$X, 0))=0, "",
  INDEX('Budget Dashboard'!$K:$K, MATCH(expenses_header_row + Calculations!H38, 'Budget Dashboard'!$X:$X, 0))))</f>
        <v>6430</v>
      </c>
      <c r="L38" s="1">
        <v>4</v>
      </c>
      <c r="M38" s="1" t="str" cm="1">
        <f t="array" aca="1" ref="M38" ca="1">IF(N38="","",INDEX('Budget Dashboard'!$J:$J, MATCH(savings_header_row + Calculations!L38, 'Budget Dashboard'!$X:$X, 0)))</f>
        <v>SIP</v>
      </c>
      <c r="N38" s="67" cm="1">
        <f t="array" aca="1" ref="N38" ca="1">IF(L38&gt;COUNTA(Savings[]), "",
  IF(INDEX('Budget Dashboard'!$K:$K, MATCH(savings_header_row + Calculations!L38, 'Budget Dashboard'!$X:$X, 0))=0, "",
  INDEX('Budget Dashboard'!$K:$K, MATCH(savings_header_row + Calculations!L38, 'Budget Dashboard'!$X:$X, 0))))</f>
        <v>6000</v>
      </c>
    </row>
    <row r="39" spans="4:14" x14ac:dyDescent="0.25">
      <c r="D39" s="1">
        <v>5</v>
      </c>
      <c r="E39" s="1" t="str" cm="1">
        <f t="array" ref="E39">IF(F39="","",INDEX('Budget Dashboard'!$J:$J, MATCH(Income_header_row + Calculations!D39, 'Budget Dashboard'!$X:$X, 0)))</f>
        <v/>
      </c>
      <c r="F39" s="67" t="str" cm="1">
        <f t="array" ref="F39">IF(D39&gt;COUNTA(Income[]), "",
  IF(INDEX('Budget Dashboard'!$K:$K, MATCH(Income_header_row + Calculations!D39, 'Budget Dashboard'!$X:$X, 0))=0, "",
  INDEX('Budget Dashboard'!$K:$K, MATCH(Income_header_row + Calculations!D39, 'Budget Dashboard'!$X:$X, 0))))</f>
        <v/>
      </c>
      <c r="H39" s="1">
        <v>5</v>
      </c>
      <c r="I39" s="1" t="str" cm="1">
        <f t="array" aca="1" ref="I39" ca="1">IF(J39="","",INDEX('Budget Dashboard'!$J:$J, MATCH(expenses_header_row + Calculations!H39, 'Budget Dashboard'!$X:$X, 0)))</f>
        <v>MISC</v>
      </c>
      <c r="J39" s="67" cm="1">
        <f t="array" aca="1" ref="J39" ca="1">IF(H39&gt;COUNTA(Expenses[]), "",
  IF(INDEX('Budget Dashboard'!$K:$K, MATCH(expenses_header_row + Calculations!H39, 'Budget Dashboard'!$X:$X, 0))=0, "",
  INDEX('Budget Dashboard'!$K:$K, MATCH(expenses_header_row + Calculations!H39, 'Budget Dashboard'!$X:$X, 0))))</f>
        <v>3222</v>
      </c>
      <c r="L39" s="1">
        <v>5</v>
      </c>
      <c r="M39" s="1" t="str" cm="1">
        <f t="array" aca="1" ref="M39" ca="1">IF(N39="","",INDEX('Budget Dashboard'!$J:$J, MATCH(savings_header_row + Calculations!L39, 'Budget Dashboard'!$X:$X, 0)))</f>
        <v>Skill Development</v>
      </c>
      <c r="N39" s="67" cm="1">
        <f t="array" aca="1" ref="N39" ca="1">IF(L39&gt;COUNTA(Savings[]), "",
  IF(INDEX('Budget Dashboard'!$K:$K, MATCH(savings_header_row + Calculations!L39, 'Budget Dashboard'!$X:$X, 0))=0, "",
  INDEX('Budget Dashboard'!$K:$K, MATCH(savings_header_row + Calculations!L39, 'Budget Dashboard'!$X:$X, 0))))</f>
        <v>5686</v>
      </c>
    </row>
    <row r="40" spans="4:14" ht="15.75" thickBot="1" x14ac:dyDescent="0.3">
      <c r="D40" s="66">
        <v>6</v>
      </c>
      <c r="E40" s="66" t="str">
        <f ca="1">IF(F40="","","Other")</f>
        <v/>
      </c>
      <c r="F40" s="68" t="str">
        <f ca="1">IF(F41-SUM(F35:F39)=0,"",F41-SUM(F35:F39))</f>
        <v/>
      </c>
      <c r="H40" s="66">
        <v>6</v>
      </c>
      <c r="I40" s="66" t="str">
        <f ca="1">IF(J40="","","Other")</f>
        <v>Other</v>
      </c>
      <c r="J40" s="68">
        <f ca="1">IF(J41-SUM(J35:J39)=0,"",J41-SUM(J35:J39))</f>
        <v>3573</v>
      </c>
      <c r="L40" s="66">
        <v>6</v>
      </c>
      <c r="M40" s="66" t="str">
        <f ca="1">IF(N40="","","Other")</f>
        <v/>
      </c>
      <c r="N40" s="68" t="str">
        <f ca="1">IF(N41-SUM(N35:N39)=0,"",N41-SUM(N35:N39))</f>
        <v/>
      </c>
    </row>
    <row r="41" spans="4:14" ht="15.75" thickTop="1" x14ac:dyDescent="0.25">
      <c r="D41" s="65"/>
      <c r="E41" s="65" t="s">
        <v>8</v>
      </c>
      <c r="F41" s="65" cm="1">
        <f t="array" aca="1" ref="F41" ca="1">INDEX('Budget Dashboard'!$K:$K, MATCH(income_total_row, 'Budget Dashboard'!$X:$X, 0))</f>
        <v>317964</v>
      </c>
      <c r="H41" s="65"/>
      <c r="I41" s="65" t="s">
        <v>8</v>
      </c>
      <c r="J41" s="65" cm="1">
        <f t="array" aca="1" ref="J41" ca="1">INDEX('Budget Dashboard'!$K:$K, MATCH(expenses_total_row, 'Budget Dashboard'!$X:$X, 0))</f>
        <v>91555</v>
      </c>
      <c r="L41" s="65"/>
      <c r="M41" s="65" t="s">
        <v>8</v>
      </c>
      <c r="N41" s="65" cm="1">
        <f t="array" aca="1" ref="N41" ca="1">INDEX('Budget Dashboard'!$K:$K, MATCH(savings_total_row, 'Budget Dashboard'!$X:$X, 0))</f>
        <v>111686</v>
      </c>
    </row>
    <row r="47" spans="4:14" x14ac:dyDescent="0.25">
      <c r="D47" s="64" t="s">
        <v>96</v>
      </c>
      <c r="E47" s="63"/>
      <c r="F47" s="63"/>
      <c r="G47" s="63"/>
      <c r="H47" s="63"/>
      <c r="I47" s="63"/>
      <c r="J47" s="63"/>
      <c r="K47" s="63"/>
      <c r="L47" s="63"/>
      <c r="M47" s="63"/>
      <c r="N47" s="63"/>
    </row>
    <row r="49" spans="4:18" x14ac:dyDescent="0.25">
      <c r="D49" s="77" t="s">
        <v>110</v>
      </c>
      <c r="E49" s="78" t="b">
        <v>1</v>
      </c>
      <c r="L49" t="s">
        <v>54</v>
      </c>
    </row>
    <row r="50" spans="4:18" x14ac:dyDescent="0.25">
      <c r="D50" s="77" t="s">
        <v>111</v>
      </c>
      <c r="E50" s="78" t="b">
        <v>1</v>
      </c>
    </row>
    <row r="51" spans="4:18" x14ac:dyDescent="0.25">
      <c r="D51" s="77" t="s">
        <v>112</v>
      </c>
      <c r="E51" s="78" t="b">
        <v>1</v>
      </c>
    </row>
    <row r="52" spans="4:18" x14ac:dyDescent="0.25">
      <c r="D52" s="77" t="s">
        <v>113</v>
      </c>
      <c r="E52" s="78" t="b">
        <v>1</v>
      </c>
    </row>
    <row r="53" spans="4:18" x14ac:dyDescent="0.25">
      <c r="M53" s="107" t="s">
        <v>105</v>
      </c>
      <c r="N53" s="107"/>
      <c r="O53" s="107"/>
      <c r="P53" s="121" t="s">
        <v>109</v>
      </c>
      <c r="Q53" s="121"/>
      <c r="R53" s="121"/>
    </row>
    <row r="54" spans="4:18" s="39" customFormat="1" x14ac:dyDescent="0.25">
      <c r="D54" s="65" t="s">
        <v>97</v>
      </c>
      <c r="E54" s="65" t="s">
        <v>38</v>
      </c>
      <c r="F54" s="65" t="s">
        <v>98</v>
      </c>
      <c r="G54" s="65" t="s">
        <v>99</v>
      </c>
      <c r="H54" s="65" t="s">
        <v>100</v>
      </c>
      <c r="I54" s="65" t="s">
        <v>101</v>
      </c>
      <c r="J54" s="65" t="s">
        <v>102</v>
      </c>
      <c r="K54" s="65" t="s">
        <v>103</v>
      </c>
      <c r="L54" s="65" t="s">
        <v>104</v>
      </c>
      <c r="M54" s="65" t="s">
        <v>106</v>
      </c>
      <c r="N54" s="65" t="s">
        <v>107</v>
      </c>
      <c r="O54" s="65" t="s">
        <v>108</v>
      </c>
      <c r="P54" s="65" t="s">
        <v>106</v>
      </c>
      <c r="Q54" s="65" t="s">
        <v>107</v>
      </c>
      <c r="R54" s="65" t="s">
        <v>108</v>
      </c>
    </row>
    <row r="55" spans="4:18" x14ac:dyDescent="0.25">
      <c r="D55" s="115">
        <f ca="1">DATE(selected_year,1,1)</f>
        <v>46023</v>
      </c>
      <c r="E55" s="45" t="s">
        <v>0</v>
      </c>
      <c r="F55" s="45">
        <f ca="1">MONTH(D55)</f>
        <v>1</v>
      </c>
      <c r="G55" s="45">
        <f>IF(selected_period="Total Year",1,IF(selected_period=cc_month_number,1,0))</f>
        <v>1</v>
      </c>
      <c r="H55" s="45">
        <f>1*$E$49</f>
        <v>1</v>
      </c>
      <c r="I55" s="45">
        <f>1*$E$52</f>
        <v>1</v>
      </c>
      <c r="J55" s="76" cm="1">
        <f t="array" aca="1" ref="J55" ca="1">SUMPRODUCT(Tracking[Amount]*(TRIM(Tracking[Type])=TRIM(E55))*(YEAR(Tracking[Date])=selected_year)*(MONTH(Tracking[Date])=F55))</f>
        <v>35163</v>
      </c>
      <c r="K55" s="76" cm="1">
        <f t="array" aca="1" ref="K55" ca="1">INDEX('Budget Planning'!$E:$EM,income_total_row,MATCH(DATE(selected_year,F55,1),'Budget Planning'!$E$9:$EM$9,0))</f>
        <v>26940</v>
      </c>
      <c r="L55" s="76">
        <f ca="1">cc_budget-cc_tracked</f>
        <v>-8223</v>
      </c>
      <c r="M55" s="76">
        <f ca="1">cc_in_focus*cc_show_type*MIN(cc_tracked,cc_budget)</f>
        <v>26940</v>
      </c>
      <c r="N55" s="76">
        <f ca="1">cc_in_focus*cc_show_type*cc_show_remaining_budget*IF(cc_delta&gt;0,cc_delta,0)</f>
        <v>0</v>
      </c>
      <c r="O55" s="76">
        <f ca="1">cc_in_focus*cc_show_type*IF(cc_delta&lt;0,ABS(cc_delta),0)</f>
        <v>8223</v>
      </c>
      <c r="P55" s="76">
        <f ca="1">NOT(cc_in_focus)*cc_show_type*MIN(cc_tracked,cc_budget)</f>
        <v>0</v>
      </c>
      <c r="Q55" s="76">
        <f ca="1">NOT(cc_in_focus)*cc_show_type*cc_show_remaining_budget*IF(cc_delta&gt;0,cc_delta,0)</f>
        <v>0</v>
      </c>
      <c r="R55" s="76">
        <f ca="1">NOT(cc_in_focus)*cc_show_type*IF(cc_delta&lt;0,ABS(cc_delta),0)</f>
        <v>0</v>
      </c>
    </row>
    <row r="56" spans="4:18" x14ac:dyDescent="0.25">
      <c r="D56" s="115"/>
      <c r="E56" s="45" t="s">
        <v>42</v>
      </c>
      <c r="F56" s="45">
        <f ca="1">MONTH(D55)</f>
        <v>1</v>
      </c>
      <c r="G56" s="45">
        <f>IF(selected_period="Total Year",1,IF(selected_period=cc_month_number,1,0))</f>
        <v>1</v>
      </c>
      <c r="H56" s="45">
        <f>1*$E$50</f>
        <v>1</v>
      </c>
      <c r="I56" s="45">
        <f t="shared" ref="I56:I57" si="0">1*$E$52</f>
        <v>1</v>
      </c>
      <c r="J56" s="76" cm="1">
        <f t="array" aca="1" ref="J56" ca="1">SUMPRODUCT(Tracking[Amount]*(TRIM(Tracking[Type])=TRIM(E56))*(YEAR(Tracking[Date])=selected_year)*(MONTH(Tracking[Date])=F56))</f>
        <v>28989</v>
      </c>
      <c r="K56" s="76" cm="1">
        <f t="array" aca="1" ref="K56" ca="1">INDEX('Budget Planning'!$E:$EM,expenses_total_row,MATCH(DATE(selected_year,F56,1),'Budget Planning'!$E$9:$EM$9,0))</f>
        <v>28918</v>
      </c>
      <c r="L56" s="76">
        <f ca="1">cc_budget-cc_tracked</f>
        <v>-71</v>
      </c>
      <c r="M56" s="76">
        <f ca="1">cc_in_focus*cc_show_type*MIN(cc_tracked,cc_budget)</f>
        <v>28918</v>
      </c>
      <c r="N56" s="76">
        <f ca="1">cc_in_focus*cc_show_type*cc_show_remaining_budget*IF(cc_delta&gt;0,cc_delta,0)</f>
        <v>0</v>
      </c>
      <c r="O56" s="76">
        <f ca="1">cc_in_focus*cc_show_type*IF(cc_delta&lt;0,ABS(cc_delta),0)</f>
        <v>71</v>
      </c>
      <c r="P56" s="76">
        <f ca="1">NOT(cc_in_focus)*cc_show_type*MIN(cc_tracked,cc_budget)</f>
        <v>0</v>
      </c>
      <c r="Q56" s="76">
        <f ca="1">NOT(cc_in_focus)*cc_show_type*cc_show_remaining_budget*IF(cc_delta&gt;0,cc_delta,0)</f>
        <v>0</v>
      </c>
      <c r="R56" s="76">
        <f ca="1">NOT(cc_in_focus)*cc_show_type*IF(cc_delta&lt;0,ABS(cc_delta),0)</f>
        <v>0</v>
      </c>
    </row>
    <row r="57" spans="4:18" x14ac:dyDescent="0.25">
      <c r="D57" s="115"/>
      <c r="E57" s="45" t="s">
        <v>43</v>
      </c>
      <c r="F57" s="45">
        <f ca="1">MONTH(D55)</f>
        <v>1</v>
      </c>
      <c r="G57" s="45">
        <f>IF(selected_period="Total Year",1,IF(selected_period=cc_month_number,1,0))</f>
        <v>1</v>
      </c>
      <c r="H57" s="45">
        <f>1*$E$51</f>
        <v>1</v>
      </c>
      <c r="I57" s="45">
        <f t="shared" si="0"/>
        <v>1</v>
      </c>
      <c r="J57" s="76" cm="1">
        <f t="array" aca="1" ref="J57" ca="1">SUMPRODUCT(Tracking[Amount]*(TRIM(Tracking[Type])=TRIM(E57))*(YEAR(Tracking[Date])=selected_year)*(MONTH(Tracking[Date])=F57))</f>
        <v>3000</v>
      </c>
      <c r="K57" s="76" cm="1">
        <f t="array" aca="1" ref="K57" ca="1">INDEX('Budget Planning'!$E:$EM,savings_total_row,MATCH(DATE(selected_year,F57,1),'Budget Planning'!$E$9:$EM$9,0))</f>
        <v>3000</v>
      </c>
      <c r="L57" s="76">
        <f ca="1">cc_budget-cc_tracked</f>
        <v>0</v>
      </c>
      <c r="M57" s="76">
        <f ca="1">cc_in_focus*cc_show_type*MIN(cc_tracked,cc_budget)</f>
        <v>3000</v>
      </c>
      <c r="N57" s="76">
        <f ca="1">cc_in_focus*cc_show_type*cc_show_remaining_budget*IF(cc_delta&gt;0,cc_delta,0)</f>
        <v>0</v>
      </c>
      <c r="O57" s="76">
        <f ca="1">cc_in_focus*cc_show_type*IF(cc_delta&lt;0,ABS(cc_delta),0)</f>
        <v>0</v>
      </c>
      <c r="P57" s="76">
        <f ca="1">NOT(cc_in_focus)*cc_show_type*MIN(cc_tracked,cc_budget)</f>
        <v>0</v>
      </c>
      <c r="Q57" s="76">
        <f ca="1">NOT(cc_in_focus)*cc_show_type*cc_show_remaining_budget*IF(cc_delta&gt;0,cc_delta,0)</f>
        <v>0</v>
      </c>
      <c r="R57" s="76">
        <f ca="1">NOT(cc_in_focus)*cc_show_type*IF(cc_delta&lt;0,ABS(cc_delta),0)</f>
        <v>0</v>
      </c>
    </row>
    <row r="58" spans="4:18" x14ac:dyDescent="0.25">
      <c r="D58" s="116"/>
      <c r="E58" s="75"/>
      <c r="F58" s="75"/>
      <c r="G58" s="75"/>
      <c r="H58" s="75"/>
      <c r="I58" s="75"/>
      <c r="J58" s="79"/>
      <c r="K58" s="79"/>
      <c r="L58" s="79"/>
      <c r="M58" s="75"/>
      <c r="N58" s="75"/>
      <c r="O58" s="75"/>
      <c r="P58" s="75"/>
      <c r="Q58" s="75"/>
      <c r="R58" s="75"/>
    </row>
    <row r="59" spans="4:18" x14ac:dyDescent="0.25">
      <c r="D59" s="114">
        <f ca="1">DATE(selected_year,2,1)</f>
        <v>46054</v>
      </c>
      <c r="E59" s="74" t="s">
        <v>0</v>
      </c>
      <c r="F59" s="45">
        <f t="shared" ref="F59" ca="1" si="1">MONTH(D59)</f>
        <v>2</v>
      </c>
      <c r="G59" s="45">
        <f>IF(selected_period="Total Year",1,IF(selected_period=cc_month_number,1,0))</f>
        <v>1</v>
      </c>
      <c r="H59" s="45">
        <f t="shared" ref="H59" si="2">1*$E$49</f>
        <v>1</v>
      </c>
      <c r="I59" s="45">
        <f t="shared" ref="I59:I101" si="3">1*$E$52</f>
        <v>1</v>
      </c>
      <c r="J59" s="76" cm="1">
        <f t="array" aca="1" ref="J59" ca="1">SUMPRODUCT(Tracking[Amount]*(TRIM(Tracking[Type])=TRIM(E59))*(YEAR(Tracking[Date])=selected_year)*(MONTH(Tracking[Date])=F59))</f>
        <v>88604</v>
      </c>
      <c r="K59" s="76" cm="1">
        <f t="array" aca="1" ref="K59" ca="1">INDEX('Budget Planning'!$E:$EM,income_total_row,MATCH(DATE(selected_year,F59,1),'Budget Planning'!$E$9:$EM$9,0))</f>
        <v>88604</v>
      </c>
      <c r="L59" s="76">
        <f ca="1">cc_budget-cc_tracked</f>
        <v>0</v>
      </c>
      <c r="M59" s="76">
        <f ca="1">cc_in_focus*cc_show_type*MIN(cc_tracked,cc_budget)</f>
        <v>88604</v>
      </c>
      <c r="N59" s="76">
        <f ca="1">cc_in_focus*cc_show_type*cc_show_remaining_budget*IF(cc_delta&gt;0,cc_delta,0)</f>
        <v>0</v>
      </c>
      <c r="O59" s="76">
        <f ca="1">cc_in_focus*cc_show_type*IF(cc_delta&lt;0,ABS(cc_delta),0)</f>
        <v>0</v>
      </c>
      <c r="P59" s="76">
        <f ca="1">NOT(cc_in_focus)*cc_show_type*MIN(cc_tracked,cc_budget)</f>
        <v>0</v>
      </c>
      <c r="Q59" s="76">
        <f ca="1">NOT(cc_in_focus)*cc_show_type*cc_show_remaining_budget*IF(cc_delta&gt;0,cc_delta,0)</f>
        <v>0</v>
      </c>
      <c r="R59" s="76">
        <f ca="1">NOT(cc_in_focus)*cc_show_type*IF(cc_delta&lt;0,ABS(cc_delta),0)</f>
        <v>0</v>
      </c>
    </row>
    <row r="60" spans="4:18" x14ac:dyDescent="0.25">
      <c r="D60" s="115"/>
      <c r="E60" s="45" t="s">
        <v>42</v>
      </c>
      <c r="F60" s="45">
        <f t="shared" ref="F60" ca="1" si="4">MONTH(D59)</f>
        <v>2</v>
      </c>
      <c r="G60" s="45">
        <f>IF(selected_period="Total Year",1,IF(selected_period=cc_month_number,1,0))</f>
        <v>1</v>
      </c>
      <c r="H60" s="45">
        <f t="shared" ref="H60" si="5">1*$E$50</f>
        <v>1</v>
      </c>
      <c r="I60" s="45">
        <f t="shared" si="3"/>
        <v>1</v>
      </c>
      <c r="J60" s="76" cm="1">
        <f t="array" aca="1" ref="J60" ca="1">SUMPRODUCT(Tracking[Amount]*(TRIM(Tracking[Type])=TRIM(E60))*(YEAR(Tracking[Date])=selected_year)*(MONTH(Tracking[Date])=F60))</f>
        <v>31998</v>
      </c>
      <c r="K60" s="76" cm="1">
        <f t="array" aca="1" ref="K60" ca="1">INDEX('Budget Planning'!$E:$EM,expenses_total_row,MATCH(DATE(selected_year,F60,1),'Budget Planning'!$E$9:$EM$9,0))</f>
        <v>29918</v>
      </c>
      <c r="L60" s="76">
        <f ca="1">cc_budget-cc_tracked</f>
        <v>-2080</v>
      </c>
      <c r="M60" s="76">
        <f ca="1">cc_in_focus*cc_show_type*MIN(cc_tracked,cc_budget)</f>
        <v>29918</v>
      </c>
      <c r="N60" s="76">
        <f ca="1">cc_in_focus*cc_show_type*cc_show_remaining_budget*IF(cc_delta&gt;0,cc_delta,0)</f>
        <v>0</v>
      </c>
      <c r="O60" s="76">
        <f ca="1">cc_in_focus*cc_show_type*IF(cc_delta&lt;0,ABS(cc_delta),0)</f>
        <v>2080</v>
      </c>
      <c r="P60" s="76">
        <f ca="1">NOT(cc_in_focus)*cc_show_type*MIN(cc_tracked,cc_budget)</f>
        <v>0</v>
      </c>
      <c r="Q60" s="76">
        <f ca="1">NOT(cc_in_focus)*cc_show_type*cc_show_remaining_budget*IF(cc_delta&gt;0,cc_delta,0)</f>
        <v>0</v>
      </c>
      <c r="R60" s="76">
        <f ca="1">NOT(cc_in_focus)*cc_show_type*IF(cc_delta&lt;0,ABS(cc_delta),0)</f>
        <v>0</v>
      </c>
    </row>
    <row r="61" spans="4:18" x14ac:dyDescent="0.25">
      <c r="D61" s="115"/>
      <c r="E61" s="45" t="s">
        <v>43</v>
      </c>
      <c r="F61" s="45">
        <f t="shared" ref="F61" ca="1" si="6">MONTH(D59)</f>
        <v>2</v>
      </c>
      <c r="G61" s="45">
        <f>IF(selected_period="Total Year",1,IF(selected_period=cc_month_number,1,0))</f>
        <v>1</v>
      </c>
      <c r="H61" s="45">
        <f t="shared" ref="H61" si="7">1*$E$51</f>
        <v>1</v>
      </c>
      <c r="I61" s="45">
        <f t="shared" si="3"/>
        <v>1</v>
      </c>
      <c r="J61" s="76" cm="1">
        <f t="array" aca="1" ref="J61" ca="1">SUMPRODUCT(Tracking[Amount]*(TRIM(Tracking[Type])=TRIM(E61))*(YEAR(Tracking[Date])=selected_year)*(MONTH(Tracking[Date])=F61))</f>
        <v>58686</v>
      </c>
      <c r="K61" s="76" cm="1">
        <f t="array" aca="1" ref="K61" ca="1">INDEX('Budget Planning'!$E:$EM,savings_total_row,MATCH(DATE(selected_year,F61,1),'Budget Planning'!$E$9:$EM$9,0))</f>
        <v>58686</v>
      </c>
      <c r="L61" s="76">
        <f ca="1">cc_budget-cc_tracked</f>
        <v>0</v>
      </c>
      <c r="M61" s="76">
        <f ca="1">cc_in_focus*cc_show_type*MIN(cc_tracked,cc_budget)</f>
        <v>58686</v>
      </c>
      <c r="N61" s="76">
        <f ca="1">cc_in_focus*cc_show_type*cc_show_remaining_budget*IF(cc_delta&gt;0,cc_delta,0)</f>
        <v>0</v>
      </c>
      <c r="O61" s="76">
        <f ca="1">cc_in_focus*cc_show_type*IF(cc_delta&lt;0,ABS(cc_delta),0)</f>
        <v>0</v>
      </c>
      <c r="P61" s="76">
        <f ca="1">NOT(cc_in_focus)*cc_show_type*MIN(cc_tracked,cc_budget)</f>
        <v>0</v>
      </c>
      <c r="Q61" s="76">
        <f ca="1">NOT(cc_in_focus)*cc_show_type*cc_show_remaining_budget*IF(cc_delta&gt;0,cc_delta,0)</f>
        <v>0</v>
      </c>
      <c r="R61" s="76">
        <f ca="1">NOT(cc_in_focus)*cc_show_type*IF(cc_delta&lt;0,ABS(cc_delta),0)</f>
        <v>0</v>
      </c>
    </row>
    <row r="62" spans="4:18" x14ac:dyDescent="0.25">
      <c r="D62" s="116"/>
      <c r="E62" s="75"/>
      <c r="F62" s="75"/>
      <c r="G62" s="75"/>
      <c r="H62" s="75"/>
      <c r="I62" s="75"/>
      <c r="J62" s="79"/>
      <c r="K62" s="79"/>
      <c r="L62" s="79"/>
      <c r="M62" s="75"/>
      <c r="N62" s="75"/>
      <c r="O62" s="75"/>
      <c r="P62" s="75"/>
      <c r="Q62" s="75"/>
      <c r="R62" s="75"/>
    </row>
    <row r="63" spans="4:18" x14ac:dyDescent="0.25">
      <c r="D63" s="114">
        <f ca="1">DATE(selected_year,3,1)</f>
        <v>46082</v>
      </c>
      <c r="E63" s="74" t="s">
        <v>0</v>
      </c>
      <c r="F63" s="45">
        <f t="shared" ref="F63" ca="1" si="8">MONTH(D63)</f>
        <v>3</v>
      </c>
      <c r="G63" s="45">
        <f>IF(selected_period="Total Year",1,IF(selected_period=cc_month_number,1,0))</f>
        <v>1</v>
      </c>
      <c r="H63" s="45">
        <f t="shared" ref="H63" si="9">1*$E$49</f>
        <v>1</v>
      </c>
      <c r="I63" s="45">
        <f t="shared" ref="I63" si="10">1*$E$52</f>
        <v>1</v>
      </c>
      <c r="J63" s="76" cm="1">
        <f t="array" aca="1" ref="J63" ca="1">SUMPRODUCT(Tracking[Amount]*(TRIM(Tracking[Type])=TRIM(E63))*(YEAR(Tracking[Date])=selected_year)*(MONTH(Tracking[Date])=F63))</f>
        <v>194197</v>
      </c>
      <c r="K63" s="76" cm="1">
        <f t="array" aca="1" ref="K63" ca="1">INDEX('Budget Planning'!$E:$EM,income_total_row,MATCH(DATE(selected_year,F63,1),'Budget Planning'!$E$9:$EM$9,0))</f>
        <v>99556</v>
      </c>
      <c r="L63" s="76">
        <f ca="1">cc_budget-cc_tracked</f>
        <v>-94641</v>
      </c>
      <c r="M63" s="76">
        <f ca="1">cc_in_focus*cc_show_type*MIN(cc_tracked,cc_budget)</f>
        <v>99556</v>
      </c>
      <c r="N63" s="76">
        <f ca="1">cc_in_focus*cc_show_type*cc_show_remaining_budget*IF(cc_delta&gt;0,cc_delta,0)</f>
        <v>0</v>
      </c>
      <c r="O63" s="76">
        <f ca="1">cc_in_focus*cc_show_type*IF(cc_delta&lt;0,ABS(cc_delta),0)</f>
        <v>94641</v>
      </c>
      <c r="P63" s="76">
        <f ca="1">NOT(cc_in_focus)*cc_show_type*MIN(cc_tracked,cc_budget)</f>
        <v>0</v>
      </c>
      <c r="Q63" s="76">
        <f ca="1">NOT(cc_in_focus)*cc_show_type*cc_show_remaining_budget*IF(cc_delta&gt;0,cc_delta,0)</f>
        <v>0</v>
      </c>
      <c r="R63" s="76">
        <f ca="1">NOT(cc_in_focus)*cc_show_type*IF(cc_delta&lt;0,ABS(cc_delta),0)</f>
        <v>0</v>
      </c>
    </row>
    <row r="64" spans="4:18" x14ac:dyDescent="0.25">
      <c r="D64" s="115"/>
      <c r="E64" s="45" t="s">
        <v>42</v>
      </c>
      <c r="F64" s="45">
        <f t="shared" ref="F64" ca="1" si="11">MONTH(D63)</f>
        <v>3</v>
      </c>
      <c r="G64" s="45">
        <f>IF(selected_period="Total Year",1,IF(selected_period=cc_month_number,1,0))</f>
        <v>1</v>
      </c>
      <c r="H64" s="45">
        <f t="shared" ref="H64" si="12">1*$E$50</f>
        <v>1</v>
      </c>
      <c r="I64" s="45">
        <f t="shared" si="3"/>
        <v>1</v>
      </c>
      <c r="J64" s="76" cm="1">
        <f t="array" aca="1" ref="J64" ca="1">SUMPRODUCT(Tracking[Amount]*(TRIM(Tracking[Type])=TRIM(E64))*(YEAR(Tracking[Date])=selected_year)*(MONTH(Tracking[Date])=F64))</f>
        <v>30568</v>
      </c>
      <c r="K64" s="76" cm="1">
        <f t="array" aca="1" ref="K64" ca="1">INDEX('Budget Planning'!$E:$EM,expenses_total_row,MATCH(DATE(selected_year,F64,1),'Budget Planning'!$E$9:$EM$9,0))</f>
        <v>29418</v>
      </c>
      <c r="L64" s="76">
        <f ca="1">cc_budget-cc_tracked</f>
        <v>-1150</v>
      </c>
      <c r="M64" s="76">
        <f ca="1">cc_in_focus*cc_show_type*MIN(cc_tracked,cc_budget)</f>
        <v>29418</v>
      </c>
      <c r="N64" s="76">
        <f ca="1">cc_in_focus*cc_show_type*cc_show_remaining_budget*IF(cc_delta&gt;0,cc_delta,0)</f>
        <v>0</v>
      </c>
      <c r="O64" s="76">
        <f ca="1">cc_in_focus*cc_show_type*IF(cc_delta&lt;0,ABS(cc_delta),0)</f>
        <v>1150</v>
      </c>
      <c r="P64" s="76">
        <f ca="1">NOT(cc_in_focus)*cc_show_type*MIN(cc_tracked,cc_budget)</f>
        <v>0</v>
      </c>
      <c r="Q64" s="76">
        <f ca="1">NOT(cc_in_focus)*cc_show_type*cc_show_remaining_budget*IF(cc_delta&gt;0,cc_delta,0)</f>
        <v>0</v>
      </c>
      <c r="R64" s="76">
        <f ca="1">NOT(cc_in_focus)*cc_show_type*IF(cc_delta&lt;0,ABS(cc_delta),0)</f>
        <v>0</v>
      </c>
    </row>
    <row r="65" spans="4:18" x14ac:dyDescent="0.25">
      <c r="D65" s="115"/>
      <c r="E65" s="45" t="s">
        <v>43</v>
      </c>
      <c r="F65" s="45">
        <f t="shared" ref="F65" ca="1" si="13">MONTH(D63)</f>
        <v>3</v>
      </c>
      <c r="G65" s="45">
        <f>IF(selected_period="Total Year",1,IF(selected_period=cc_month_number,1,0))</f>
        <v>1</v>
      </c>
      <c r="H65" s="45">
        <f t="shared" ref="H65" si="14">1*$E$51</f>
        <v>1</v>
      </c>
      <c r="I65" s="45">
        <f t="shared" si="3"/>
        <v>1</v>
      </c>
      <c r="J65" s="76" cm="1">
        <f t="array" aca="1" ref="J65" ca="1">SUMPRODUCT(Tracking[Amount]*(TRIM(Tracking[Type])=TRIM(E65))*(YEAR(Tracking[Date])=selected_year)*(MONTH(Tracking[Date])=F65))</f>
        <v>50000</v>
      </c>
      <c r="K65" s="76" cm="1">
        <f t="array" aca="1" ref="K65" ca="1">INDEX('Budget Planning'!$E:$EM,savings_total_row,MATCH(DATE(selected_year,F65,1),'Budget Planning'!$E$9:$EM$9,0))</f>
        <v>70138</v>
      </c>
      <c r="L65" s="76">
        <f ca="1">cc_budget-cc_tracked</f>
        <v>20138</v>
      </c>
      <c r="M65" s="76">
        <f ca="1">cc_in_focus*cc_show_type*MIN(cc_tracked,cc_budget)</f>
        <v>50000</v>
      </c>
      <c r="N65" s="76">
        <f ca="1">cc_in_focus*cc_show_type*cc_show_remaining_budget*IF(cc_delta&gt;0,cc_delta,0)</f>
        <v>20138</v>
      </c>
      <c r="O65" s="76">
        <f ca="1">cc_in_focus*cc_show_type*IF(cc_delta&lt;0,ABS(cc_delta),0)</f>
        <v>0</v>
      </c>
      <c r="P65" s="76">
        <f ca="1">NOT(cc_in_focus)*cc_show_type*MIN(cc_tracked,cc_budget)</f>
        <v>0</v>
      </c>
      <c r="Q65" s="76">
        <f ca="1">NOT(cc_in_focus)*cc_show_type*cc_show_remaining_budget*IF(cc_delta&gt;0,cc_delta,0)</f>
        <v>0</v>
      </c>
      <c r="R65" s="76">
        <f ca="1">NOT(cc_in_focus)*cc_show_type*IF(cc_delta&lt;0,ABS(cc_delta),0)</f>
        <v>0</v>
      </c>
    </row>
    <row r="66" spans="4:18" x14ac:dyDescent="0.25">
      <c r="D66" s="116"/>
      <c r="E66" s="75"/>
      <c r="F66" s="75"/>
      <c r="G66" s="75"/>
      <c r="H66" s="75"/>
      <c r="I66" s="75"/>
      <c r="J66" s="79"/>
      <c r="K66" s="79"/>
      <c r="L66" s="79"/>
      <c r="M66" s="75"/>
      <c r="N66" s="75"/>
      <c r="O66" s="75"/>
      <c r="P66" s="75"/>
      <c r="Q66" s="75"/>
      <c r="R66" s="75"/>
    </row>
    <row r="67" spans="4:18" x14ac:dyDescent="0.25">
      <c r="D67" s="114">
        <f ca="1">DATE(selected_year,4,1)</f>
        <v>46113</v>
      </c>
      <c r="E67" s="74" t="s">
        <v>0</v>
      </c>
      <c r="F67" s="45">
        <f t="shared" ref="F67" ca="1" si="15">MONTH(D67)</f>
        <v>4</v>
      </c>
      <c r="G67" s="45">
        <f>IF(selected_period="Total Year",1,IF(selected_period=cc_month_number,1,0))</f>
        <v>1</v>
      </c>
      <c r="H67" s="45">
        <f t="shared" ref="H67" si="16">1*$E$49</f>
        <v>1</v>
      </c>
      <c r="I67" s="45">
        <f t="shared" ref="I67" si="17">1*$E$52</f>
        <v>1</v>
      </c>
      <c r="J67" s="76" cm="1">
        <f t="array" aca="1" ref="J67" ca="1">SUMPRODUCT(Tracking[Amount]*(TRIM(Tracking[Type])=TRIM(E67))*(YEAR(Tracking[Date])=selected_year)*(MONTH(Tracking[Date])=F67))</f>
        <v>0</v>
      </c>
      <c r="K67" s="76" cm="1">
        <f t="array" aca="1" ref="K67" ca="1">INDEX('Budget Planning'!$E:$EM,income_total_row,MATCH(DATE(selected_year,F67,1),'Budget Planning'!$E$9:$EM$9,0))</f>
        <v>102199</v>
      </c>
      <c r="L67" s="76">
        <f ca="1">cc_budget-cc_tracked</f>
        <v>102199</v>
      </c>
      <c r="M67" s="76">
        <f ca="1">cc_in_focus*cc_show_type*MIN(cc_tracked,cc_budget)</f>
        <v>0</v>
      </c>
      <c r="N67" s="76">
        <f ca="1">cc_in_focus*cc_show_type*cc_show_remaining_budget*IF(cc_delta&gt;0,cc_delta,0)</f>
        <v>102199</v>
      </c>
      <c r="O67" s="76">
        <f ca="1">cc_in_focus*cc_show_type*IF(cc_delta&lt;0,ABS(cc_delta),0)</f>
        <v>0</v>
      </c>
      <c r="P67" s="76">
        <f ca="1">NOT(cc_in_focus)*cc_show_type*MIN(cc_tracked,cc_budget)</f>
        <v>0</v>
      </c>
      <c r="Q67" s="76">
        <f ca="1">NOT(cc_in_focus)*cc_show_type*cc_show_remaining_budget*IF(cc_delta&gt;0,cc_delta,0)</f>
        <v>0</v>
      </c>
      <c r="R67" s="76">
        <f ca="1">NOT(cc_in_focus)*cc_show_type*IF(cc_delta&lt;0,ABS(cc_delta),0)</f>
        <v>0</v>
      </c>
    </row>
    <row r="68" spans="4:18" x14ac:dyDescent="0.25">
      <c r="D68" s="115"/>
      <c r="E68" s="45" t="s">
        <v>42</v>
      </c>
      <c r="F68" s="45">
        <f t="shared" ref="F68" ca="1" si="18">MONTH(D67)</f>
        <v>4</v>
      </c>
      <c r="G68" s="45">
        <f>IF(selected_period="Total Year",1,IF(selected_period=cc_month_number,1,0))</f>
        <v>1</v>
      </c>
      <c r="H68" s="45">
        <f t="shared" ref="H68" si="19">1*$E$50</f>
        <v>1</v>
      </c>
      <c r="I68" s="45">
        <f t="shared" si="3"/>
        <v>1</v>
      </c>
      <c r="J68" s="76" cm="1">
        <f t="array" aca="1" ref="J68" ca="1">SUMPRODUCT(Tracking[Amount]*(TRIM(Tracking[Type])=TRIM(E68))*(YEAR(Tracking[Date])=selected_year)*(MONTH(Tracking[Date])=F68))</f>
        <v>0</v>
      </c>
      <c r="K68" s="76" cm="1">
        <f t="array" aca="1" ref="K68" ca="1">INDEX('Budget Planning'!$E:$EM,expenses_total_row,MATCH(DATE(selected_year,F68,1),'Budget Planning'!$E$9:$EM$9,0))</f>
        <v>46418</v>
      </c>
      <c r="L68" s="76">
        <f ca="1">cc_budget-cc_tracked</f>
        <v>46418</v>
      </c>
      <c r="M68" s="76">
        <f ca="1">cc_in_focus*cc_show_type*MIN(cc_tracked,cc_budget)</f>
        <v>0</v>
      </c>
      <c r="N68" s="76">
        <f ca="1">cc_in_focus*cc_show_type*cc_show_remaining_budget*IF(cc_delta&gt;0,cc_delta,0)</f>
        <v>46418</v>
      </c>
      <c r="O68" s="76">
        <f ca="1">cc_in_focus*cc_show_type*IF(cc_delta&lt;0,ABS(cc_delta),0)</f>
        <v>0</v>
      </c>
      <c r="P68" s="76">
        <f ca="1">NOT(cc_in_focus)*cc_show_type*MIN(cc_tracked,cc_budget)</f>
        <v>0</v>
      </c>
      <c r="Q68" s="76">
        <f ca="1">NOT(cc_in_focus)*cc_show_type*cc_show_remaining_budget*IF(cc_delta&gt;0,cc_delta,0)</f>
        <v>0</v>
      </c>
      <c r="R68" s="76">
        <f ca="1">NOT(cc_in_focus)*cc_show_type*IF(cc_delta&lt;0,ABS(cc_delta),0)</f>
        <v>0</v>
      </c>
    </row>
    <row r="69" spans="4:18" x14ac:dyDescent="0.25">
      <c r="D69" s="115"/>
      <c r="E69" s="45" t="s">
        <v>43</v>
      </c>
      <c r="F69" s="45">
        <f t="shared" ref="F69" ca="1" si="20">MONTH(D67)</f>
        <v>4</v>
      </c>
      <c r="G69" s="45">
        <f>IF(selected_period="Total Year",1,IF(selected_period=cc_month_number,1,0))</f>
        <v>1</v>
      </c>
      <c r="H69" s="45">
        <f t="shared" ref="H69" si="21">1*$E$51</f>
        <v>1</v>
      </c>
      <c r="I69" s="45">
        <f t="shared" si="3"/>
        <v>1</v>
      </c>
      <c r="J69" s="76" cm="1">
        <f t="array" aca="1" ref="J69" ca="1">SUMPRODUCT(Tracking[Amount]*(TRIM(Tracking[Type])=TRIM(E69))*(YEAR(Tracking[Date])=selected_year)*(MONTH(Tracking[Date])=F69))</f>
        <v>0</v>
      </c>
      <c r="K69" s="76" cm="1">
        <f t="array" aca="1" ref="K69" ca="1">INDEX('Budget Planning'!$E:$EM,savings_total_row,MATCH(DATE(selected_year,F69,1),'Budget Planning'!$E$9:$EM$9,0))</f>
        <v>55781</v>
      </c>
      <c r="L69" s="76">
        <f ca="1">cc_budget-cc_tracked</f>
        <v>55781</v>
      </c>
      <c r="M69" s="76">
        <f ca="1">cc_in_focus*cc_show_type*MIN(cc_tracked,cc_budget)</f>
        <v>0</v>
      </c>
      <c r="N69" s="76">
        <f ca="1">cc_in_focus*cc_show_type*cc_show_remaining_budget*IF(cc_delta&gt;0,cc_delta,0)</f>
        <v>55781</v>
      </c>
      <c r="O69" s="76">
        <f ca="1">cc_in_focus*cc_show_type*IF(cc_delta&lt;0,ABS(cc_delta),0)</f>
        <v>0</v>
      </c>
      <c r="P69" s="76">
        <f ca="1">NOT(cc_in_focus)*cc_show_type*MIN(cc_tracked,cc_budget)</f>
        <v>0</v>
      </c>
      <c r="Q69" s="76">
        <f ca="1">NOT(cc_in_focus)*cc_show_type*cc_show_remaining_budget*IF(cc_delta&gt;0,cc_delta,0)</f>
        <v>0</v>
      </c>
      <c r="R69" s="76">
        <f ca="1">NOT(cc_in_focus)*cc_show_type*IF(cc_delta&lt;0,ABS(cc_delta),0)</f>
        <v>0</v>
      </c>
    </row>
    <row r="70" spans="4:18" x14ac:dyDescent="0.25">
      <c r="D70" s="116"/>
      <c r="E70" s="75"/>
      <c r="F70" s="75"/>
      <c r="G70" s="75"/>
      <c r="H70" s="75"/>
      <c r="I70" s="75"/>
      <c r="J70" s="79"/>
      <c r="K70" s="79"/>
      <c r="L70" s="79"/>
      <c r="M70" s="75"/>
      <c r="N70" s="75"/>
      <c r="O70" s="75"/>
      <c r="P70" s="75"/>
      <c r="Q70" s="75"/>
      <c r="R70" s="75"/>
    </row>
    <row r="71" spans="4:18" x14ac:dyDescent="0.25">
      <c r="D71" s="114">
        <f ca="1">DATE(selected_year,5,1)</f>
        <v>46143</v>
      </c>
      <c r="E71" s="74" t="s">
        <v>0</v>
      </c>
      <c r="F71" s="45">
        <f t="shared" ref="F71" ca="1" si="22">MONTH(D71)</f>
        <v>5</v>
      </c>
      <c r="G71" s="45">
        <f>IF(selected_period="Total Year",1,IF(selected_period=cc_month_number,1,0))</f>
        <v>1</v>
      </c>
      <c r="H71" s="45">
        <f t="shared" ref="H71" si="23">1*$E$49</f>
        <v>1</v>
      </c>
      <c r="I71" s="45">
        <f t="shared" ref="I71" si="24">1*$E$52</f>
        <v>1</v>
      </c>
      <c r="J71" s="76" cm="1">
        <f t="array" aca="1" ref="J71" ca="1">SUMPRODUCT(Tracking[Amount]*(TRIM(Tracking[Type])=TRIM(E71))*(YEAR(Tracking[Date])=selected_year)*(MONTH(Tracking[Date])=F71))</f>
        <v>0</v>
      </c>
      <c r="K71" s="76" cm="1">
        <f t="array" aca="1" ref="K71" ca="1">INDEX('Budget Planning'!$E:$EM,income_total_row,MATCH(DATE(selected_year,F71,1),'Budget Planning'!$E$9:$EM$9,0))</f>
        <v>107753</v>
      </c>
      <c r="L71" s="76">
        <f ca="1">cc_budget-cc_tracked</f>
        <v>107753</v>
      </c>
      <c r="M71" s="76">
        <f ca="1">cc_in_focus*cc_show_type*MIN(cc_tracked,cc_budget)</f>
        <v>0</v>
      </c>
      <c r="N71" s="76">
        <f ca="1">cc_in_focus*cc_show_type*cc_show_remaining_budget*IF(cc_delta&gt;0,cc_delta,0)</f>
        <v>107753</v>
      </c>
      <c r="O71" s="76">
        <f ca="1">cc_in_focus*cc_show_type*IF(cc_delta&lt;0,ABS(cc_delta),0)</f>
        <v>0</v>
      </c>
      <c r="P71" s="76">
        <f ca="1">NOT(cc_in_focus)*cc_show_type*MIN(cc_tracked,cc_budget)</f>
        <v>0</v>
      </c>
      <c r="Q71" s="76">
        <f ca="1">NOT(cc_in_focus)*cc_show_type*cc_show_remaining_budget*IF(cc_delta&gt;0,cc_delta,0)</f>
        <v>0</v>
      </c>
      <c r="R71" s="76">
        <f ca="1">NOT(cc_in_focus)*cc_show_type*IF(cc_delta&lt;0,ABS(cc_delta),0)</f>
        <v>0</v>
      </c>
    </row>
    <row r="72" spans="4:18" x14ac:dyDescent="0.25">
      <c r="D72" s="115"/>
      <c r="E72" s="45" t="s">
        <v>42</v>
      </c>
      <c r="F72" s="45">
        <f t="shared" ref="F72" ca="1" si="25">MONTH(D71)</f>
        <v>5</v>
      </c>
      <c r="G72" s="45">
        <f>IF(selected_period="Total Year",1,IF(selected_period=cc_month_number,1,0))</f>
        <v>1</v>
      </c>
      <c r="H72" s="45">
        <f t="shared" ref="H72" si="26">1*$E$50</f>
        <v>1</v>
      </c>
      <c r="I72" s="45">
        <f t="shared" si="3"/>
        <v>1</v>
      </c>
      <c r="J72" s="76" cm="1">
        <f t="array" aca="1" ref="J72" ca="1">SUMPRODUCT(Tracking[Amount]*(TRIM(Tracking[Type])=TRIM(E72))*(YEAR(Tracking[Date])=selected_year)*(MONTH(Tracking[Date])=F72))</f>
        <v>0</v>
      </c>
      <c r="K72" s="76" cm="1">
        <f t="array" aca="1" ref="K72" ca="1">INDEX('Budget Planning'!$E:$EM,expenses_total_row,MATCH(DATE(selected_year,F72,1),'Budget Planning'!$E$9:$EM$9,0))</f>
        <v>50418</v>
      </c>
      <c r="L72" s="76">
        <f ca="1">cc_budget-cc_tracked</f>
        <v>50418</v>
      </c>
      <c r="M72" s="76">
        <f ca="1">cc_in_focus*cc_show_type*MIN(cc_tracked,cc_budget)</f>
        <v>0</v>
      </c>
      <c r="N72" s="76">
        <f ca="1">cc_in_focus*cc_show_type*cc_show_remaining_budget*IF(cc_delta&gt;0,cc_delta,0)</f>
        <v>50418</v>
      </c>
      <c r="O72" s="76">
        <f ca="1">cc_in_focus*cc_show_type*IF(cc_delta&lt;0,ABS(cc_delta),0)</f>
        <v>0</v>
      </c>
      <c r="P72" s="76">
        <f ca="1">NOT(cc_in_focus)*cc_show_type*MIN(cc_tracked,cc_budget)</f>
        <v>0</v>
      </c>
      <c r="Q72" s="76">
        <f ca="1">NOT(cc_in_focus)*cc_show_type*cc_show_remaining_budget*IF(cc_delta&gt;0,cc_delta,0)</f>
        <v>0</v>
      </c>
      <c r="R72" s="76">
        <f ca="1">NOT(cc_in_focus)*cc_show_type*IF(cc_delta&lt;0,ABS(cc_delta),0)</f>
        <v>0</v>
      </c>
    </row>
    <row r="73" spans="4:18" x14ac:dyDescent="0.25">
      <c r="D73" s="115"/>
      <c r="E73" s="45" t="s">
        <v>43</v>
      </c>
      <c r="F73" s="45">
        <f t="shared" ref="F73" ca="1" si="27">MONTH(D71)</f>
        <v>5</v>
      </c>
      <c r="G73" s="45">
        <f>IF(selected_period="Total Year",1,IF(selected_period=cc_month_number,1,0))</f>
        <v>1</v>
      </c>
      <c r="H73" s="45">
        <f t="shared" ref="H73" si="28">1*$E$51</f>
        <v>1</v>
      </c>
      <c r="I73" s="45">
        <f t="shared" si="3"/>
        <v>1</v>
      </c>
      <c r="J73" s="76" cm="1">
        <f t="array" aca="1" ref="J73" ca="1">SUMPRODUCT(Tracking[Amount]*(TRIM(Tracking[Type])=TRIM(E73))*(YEAR(Tracking[Date])=selected_year)*(MONTH(Tracking[Date])=F73))</f>
        <v>0</v>
      </c>
      <c r="K73" s="76" cm="1">
        <f t="array" aca="1" ref="K73" ca="1">INDEX('Budget Planning'!$E:$EM,savings_total_row,MATCH(DATE(selected_year,F73,1),'Budget Planning'!$E$9:$EM$9,0))</f>
        <v>57335</v>
      </c>
      <c r="L73" s="76">
        <f ca="1">cc_budget-cc_tracked</f>
        <v>57335</v>
      </c>
      <c r="M73" s="76">
        <f ca="1">cc_in_focus*cc_show_type*MIN(cc_tracked,cc_budget)</f>
        <v>0</v>
      </c>
      <c r="N73" s="76">
        <f ca="1">cc_in_focus*cc_show_type*cc_show_remaining_budget*IF(cc_delta&gt;0,cc_delta,0)</f>
        <v>57335</v>
      </c>
      <c r="O73" s="76">
        <f ca="1">cc_in_focus*cc_show_type*IF(cc_delta&lt;0,ABS(cc_delta),0)</f>
        <v>0</v>
      </c>
      <c r="P73" s="76">
        <f ca="1">NOT(cc_in_focus)*cc_show_type*MIN(cc_tracked,cc_budget)</f>
        <v>0</v>
      </c>
      <c r="Q73" s="76">
        <f ca="1">NOT(cc_in_focus)*cc_show_type*cc_show_remaining_budget*IF(cc_delta&gt;0,cc_delta,0)</f>
        <v>0</v>
      </c>
      <c r="R73" s="76">
        <f ca="1">NOT(cc_in_focus)*cc_show_type*IF(cc_delta&lt;0,ABS(cc_delta),0)</f>
        <v>0</v>
      </c>
    </row>
    <row r="74" spans="4:18" x14ac:dyDescent="0.25">
      <c r="D74" s="116"/>
      <c r="E74" s="75"/>
      <c r="F74" s="75"/>
      <c r="G74" s="75"/>
      <c r="H74" s="75"/>
      <c r="I74" s="75"/>
      <c r="J74" s="79"/>
      <c r="K74" s="79"/>
      <c r="L74" s="79"/>
      <c r="M74" s="75"/>
      <c r="N74" s="75"/>
      <c r="O74" s="75"/>
      <c r="P74" s="75"/>
      <c r="Q74" s="75"/>
      <c r="R74" s="75"/>
    </row>
    <row r="75" spans="4:18" x14ac:dyDescent="0.25">
      <c r="D75" s="114">
        <f ca="1">DATE(selected_year,6,1)</f>
        <v>46174</v>
      </c>
      <c r="E75" s="74" t="s">
        <v>0</v>
      </c>
      <c r="F75" s="45">
        <f t="shared" ref="F75" ca="1" si="29">MONTH(D75)</f>
        <v>6</v>
      </c>
      <c r="G75" s="45">
        <f>IF(selected_period="Total Year",1,IF(selected_period=cc_month_number,1,0))</f>
        <v>1</v>
      </c>
      <c r="H75" s="45">
        <f t="shared" ref="H75" si="30">1*$E$49</f>
        <v>1</v>
      </c>
      <c r="I75" s="45">
        <f t="shared" ref="I75" si="31">1*$E$52</f>
        <v>1</v>
      </c>
      <c r="J75" s="76" cm="1">
        <f t="array" aca="1" ref="J75" ca="1">SUMPRODUCT(Tracking[Amount]*(TRIM(Tracking[Type])=TRIM(E75))*(YEAR(Tracking[Date])=selected_year)*(MONTH(Tracking[Date])=F75))</f>
        <v>0</v>
      </c>
      <c r="K75" s="76" cm="1">
        <f t="array" aca="1" ref="K75" ca="1">INDEX('Budget Planning'!$E:$EM,income_total_row,MATCH(DATE(selected_year,F75,1),'Budget Planning'!$E$9:$EM$9,0))</f>
        <v>111703</v>
      </c>
      <c r="L75" s="76">
        <f ca="1">cc_budget-cc_tracked</f>
        <v>111703</v>
      </c>
      <c r="M75" s="76">
        <f ca="1">cc_in_focus*cc_show_type*MIN(cc_tracked,cc_budget)</f>
        <v>0</v>
      </c>
      <c r="N75" s="76">
        <f ca="1">cc_in_focus*cc_show_type*cc_show_remaining_budget*IF(cc_delta&gt;0,cc_delta,0)</f>
        <v>111703</v>
      </c>
      <c r="O75" s="76">
        <f ca="1">cc_in_focus*cc_show_type*IF(cc_delta&lt;0,ABS(cc_delta),0)</f>
        <v>0</v>
      </c>
      <c r="P75" s="76">
        <f ca="1">NOT(cc_in_focus)*cc_show_type*MIN(cc_tracked,cc_budget)</f>
        <v>0</v>
      </c>
      <c r="Q75" s="76">
        <f ca="1">NOT(cc_in_focus)*cc_show_type*cc_show_remaining_budget*IF(cc_delta&gt;0,cc_delta,0)</f>
        <v>0</v>
      </c>
      <c r="R75" s="76">
        <f ca="1">NOT(cc_in_focus)*cc_show_type*IF(cc_delta&lt;0,ABS(cc_delta),0)</f>
        <v>0</v>
      </c>
    </row>
    <row r="76" spans="4:18" x14ac:dyDescent="0.25">
      <c r="D76" s="115"/>
      <c r="E76" s="45" t="s">
        <v>42</v>
      </c>
      <c r="F76" s="45">
        <f t="shared" ref="F76" ca="1" si="32">MONTH(D75)</f>
        <v>6</v>
      </c>
      <c r="G76" s="45">
        <f>IF(selected_period="Total Year",1,IF(selected_period=cc_month_number,1,0))</f>
        <v>1</v>
      </c>
      <c r="H76" s="45">
        <f t="shared" ref="H76" si="33">1*$E$50</f>
        <v>1</v>
      </c>
      <c r="I76" s="45">
        <f t="shared" si="3"/>
        <v>1</v>
      </c>
      <c r="J76" s="76" cm="1">
        <f t="array" aca="1" ref="J76" ca="1">SUMPRODUCT(Tracking[Amount]*(TRIM(Tracking[Type])=TRIM(E76))*(YEAR(Tracking[Date])=selected_year)*(MONTH(Tracking[Date])=F76))</f>
        <v>0</v>
      </c>
      <c r="K76" s="76" cm="1">
        <f t="array" aca="1" ref="K76" ca="1">INDEX('Budget Planning'!$E:$EM,expenses_total_row,MATCH(DATE(selected_year,F76,1),'Budget Planning'!$E$9:$EM$9,0))</f>
        <v>48918</v>
      </c>
      <c r="L76" s="76">
        <f ca="1">cc_budget-cc_tracked</f>
        <v>48918</v>
      </c>
      <c r="M76" s="76">
        <f ca="1">cc_in_focus*cc_show_type*MIN(cc_tracked,cc_budget)</f>
        <v>0</v>
      </c>
      <c r="N76" s="76">
        <f ca="1">cc_in_focus*cc_show_type*cc_show_remaining_budget*IF(cc_delta&gt;0,cc_delta,0)</f>
        <v>48918</v>
      </c>
      <c r="O76" s="76">
        <f ca="1">cc_in_focus*cc_show_type*IF(cc_delta&lt;0,ABS(cc_delta),0)</f>
        <v>0</v>
      </c>
      <c r="P76" s="76">
        <f ca="1">NOT(cc_in_focus)*cc_show_type*MIN(cc_tracked,cc_budget)</f>
        <v>0</v>
      </c>
      <c r="Q76" s="76">
        <f ca="1">NOT(cc_in_focus)*cc_show_type*cc_show_remaining_budget*IF(cc_delta&gt;0,cc_delta,0)</f>
        <v>0</v>
      </c>
      <c r="R76" s="76">
        <f ca="1">NOT(cc_in_focus)*cc_show_type*IF(cc_delta&lt;0,ABS(cc_delta),0)</f>
        <v>0</v>
      </c>
    </row>
    <row r="77" spans="4:18" x14ac:dyDescent="0.25">
      <c r="D77" s="115"/>
      <c r="E77" s="45" t="s">
        <v>43</v>
      </c>
      <c r="F77" s="45">
        <f t="shared" ref="F77" ca="1" si="34">MONTH(D75)</f>
        <v>6</v>
      </c>
      <c r="G77" s="45">
        <f>IF(selected_period="Total Year",1,IF(selected_period=cc_month_number,1,0))</f>
        <v>1</v>
      </c>
      <c r="H77" s="45">
        <f t="shared" ref="H77" si="35">1*$E$51</f>
        <v>1</v>
      </c>
      <c r="I77" s="45">
        <f t="shared" si="3"/>
        <v>1</v>
      </c>
      <c r="J77" s="76" cm="1">
        <f t="array" aca="1" ref="J77" ca="1">SUMPRODUCT(Tracking[Amount]*(TRIM(Tracking[Type])=TRIM(E77))*(YEAR(Tracking[Date])=selected_year)*(MONTH(Tracking[Date])=F77))</f>
        <v>0</v>
      </c>
      <c r="K77" s="76" cm="1">
        <f t="array" aca="1" ref="K77" ca="1">INDEX('Budget Planning'!$E:$EM,savings_total_row,MATCH(DATE(selected_year,F77,1),'Budget Planning'!$E$9:$EM$9,0))</f>
        <v>62785</v>
      </c>
      <c r="L77" s="76">
        <f ca="1">cc_budget-cc_tracked</f>
        <v>62785</v>
      </c>
      <c r="M77" s="76">
        <f ca="1">cc_in_focus*cc_show_type*MIN(cc_tracked,cc_budget)</f>
        <v>0</v>
      </c>
      <c r="N77" s="76">
        <f ca="1">cc_in_focus*cc_show_type*cc_show_remaining_budget*IF(cc_delta&gt;0,cc_delta,0)</f>
        <v>62785</v>
      </c>
      <c r="O77" s="76">
        <f ca="1">cc_in_focus*cc_show_type*IF(cc_delta&lt;0,ABS(cc_delta),0)</f>
        <v>0</v>
      </c>
      <c r="P77" s="76">
        <f ca="1">NOT(cc_in_focus)*cc_show_type*MIN(cc_tracked,cc_budget)</f>
        <v>0</v>
      </c>
      <c r="Q77" s="76">
        <f ca="1">NOT(cc_in_focus)*cc_show_type*cc_show_remaining_budget*IF(cc_delta&gt;0,cc_delta,0)</f>
        <v>0</v>
      </c>
      <c r="R77" s="76">
        <f ca="1">NOT(cc_in_focus)*cc_show_type*IF(cc_delta&lt;0,ABS(cc_delta),0)</f>
        <v>0</v>
      </c>
    </row>
    <row r="78" spans="4:18" x14ac:dyDescent="0.25">
      <c r="D78" s="116"/>
      <c r="E78" s="75"/>
      <c r="F78" s="75"/>
      <c r="G78" s="75"/>
      <c r="H78" s="75"/>
      <c r="I78" s="75"/>
      <c r="J78" s="79"/>
      <c r="K78" s="79"/>
      <c r="L78" s="79"/>
      <c r="M78" s="75"/>
      <c r="N78" s="75"/>
      <c r="O78" s="75"/>
      <c r="P78" s="75"/>
      <c r="Q78" s="75"/>
      <c r="R78" s="75"/>
    </row>
    <row r="79" spans="4:18" x14ac:dyDescent="0.25">
      <c r="D79" s="114">
        <f ca="1">DATE(selected_year,7,1)</f>
        <v>46204</v>
      </c>
      <c r="E79" s="74" t="s">
        <v>0</v>
      </c>
      <c r="F79" s="45">
        <f t="shared" ref="F79" ca="1" si="36">MONTH(D79)</f>
        <v>7</v>
      </c>
      <c r="G79" s="45">
        <f>IF(selected_period="Total Year",1,IF(selected_period=cc_month_number,1,0))</f>
        <v>1</v>
      </c>
      <c r="H79" s="45">
        <f t="shared" ref="H79" si="37">1*$E$49</f>
        <v>1</v>
      </c>
      <c r="I79" s="45">
        <f t="shared" ref="I79" si="38">1*$E$52</f>
        <v>1</v>
      </c>
      <c r="J79" s="76" cm="1">
        <f t="array" aca="1" ref="J79" ca="1">SUMPRODUCT(Tracking[Amount]*(TRIM(Tracking[Type])=TRIM(E79))*(YEAR(Tracking[Date])=selected_year)*(MONTH(Tracking[Date])=F79))</f>
        <v>0</v>
      </c>
      <c r="K79" s="76" cm="1">
        <f t="array" aca="1" ref="K79" ca="1">INDEX('Budget Planning'!$E:$EM,income_total_row,MATCH(DATE(selected_year,F79,1),'Budget Planning'!$E$9:$EM$9,0))</f>
        <v>117736</v>
      </c>
      <c r="L79" s="76">
        <f ca="1">cc_budget-cc_tracked</f>
        <v>117736</v>
      </c>
      <c r="M79" s="76">
        <f ca="1">cc_in_focus*cc_show_type*MIN(cc_tracked,cc_budget)</f>
        <v>0</v>
      </c>
      <c r="N79" s="76">
        <f ca="1">cc_in_focus*cc_show_type*cc_show_remaining_budget*IF(cc_delta&gt;0,cc_delta,0)</f>
        <v>117736</v>
      </c>
      <c r="O79" s="76">
        <f ca="1">cc_in_focus*cc_show_type*IF(cc_delta&lt;0,ABS(cc_delta),0)</f>
        <v>0</v>
      </c>
      <c r="P79" s="76">
        <f ca="1">NOT(cc_in_focus)*cc_show_type*MIN(cc_tracked,cc_budget)</f>
        <v>0</v>
      </c>
      <c r="Q79" s="76">
        <f ca="1">NOT(cc_in_focus)*cc_show_type*cc_show_remaining_budget*IF(cc_delta&gt;0,cc_delta,0)</f>
        <v>0</v>
      </c>
      <c r="R79" s="76">
        <f ca="1">NOT(cc_in_focus)*cc_show_type*IF(cc_delta&lt;0,ABS(cc_delta),0)</f>
        <v>0</v>
      </c>
    </row>
    <row r="80" spans="4:18" x14ac:dyDescent="0.25">
      <c r="D80" s="115"/>
      <c r="E80" s="45" t="s">
        <v>42</v>
      </c>
      <c r="F80" s="45">
        <f t="shared" ref="F80" ca="1" si="39">MONTH(D79)</f>
        <v>7</v>
      </c>
      <c r="G80" s="45">
        <f>IF(selected_period="Total Year",1,IF(selected_period=cc_month_number,1,0))</f>
        <v>1</v>
      </c>
      <c r="H80" s="45">
        <f t="shared" ref="H80" si="40">1*$E$50</f>
        <v>1</v>
      </c>
      <c r="I80" s="45">
        <f t="shared" si="3"/>
        <v>1</v>
      </c>
      <c r="J80" s="76" cm="1">
        <f t="array" aca="1" ref="J80" ca="1">SUMPRODUCT(Tracking[Amount]*(TRIM(Tracking[Type])=TRIM(E80))*(YEAR(Tracking[Date])=selected_year)*(MONTH(Tracking[Date])=F80))</f>
        <v>0</v>
      </c>
      <c r="K80" s="76" cm="1">
        <f t="array" aca="1" ref="K80" ca="1">INDEX('Budget Planning'!$E:$EM,expenses_total_row,MATCH(DATE(selected_year,F80,1),'Budget Planning'!$E$9:$EM$9,0))</f>
        <v>49418</v>
      </c>
      <c r="L80" s="76">
        <f ca="1">cc_budget-cc_tracked</f>
        <v>49418</v>
      </c>
      <c r="M80" s="76">
        <f ca="1">cc_in_focus*cc_show_type*MIN(cc_tracked,cc_budget)</f>
        <v>0</v>
      </c>
      <c r="N80" s="76">
        <f ca="1">cc_in_focus*cc_show_type*cc_show_remaining_budget*IF(cc_delta&gt;0,cc_delta,0)</f>
        <v>49418</v>
      </c>
      <c r="O80" s="76">
        <f ca="1">cc_in_focus*cc_show_type*IF(cc_delta&lt;0,ABS(cc_delta),0)</f>
        <v>0</v>
      </c>
      <c r="P80" s="76">
        <f ca="1">NOT(cc_in_focus)*cc_show_type*MIN(cc_tracked,cc_budget)</f>
        <v>0</v>
      </c>
      <c r="Q80" s="76">
        <f ca="1">NOT(cc_in_focus)*cc_show_type*cc_show_remaining_budget*IF(cc_delta&gt;0,cc_delta,0)</f>
        <v>0</v>
      </c>
      <c r="R80" s="76">
        <f ca="1">NOT(cc_in_focus)*cc_show_type*IF(cc_delta&lt;0,ABS(cc_delta),0)</f>
        <v>0</v>
      </c>
    </row>
    <row r="81" spans="4:18" x14ac:dyDescent="0.25">
      <c r="D81" s="115"/>
      <c r="E81" s="45" t="s">
        <v>43</v>
      </c>
      <c r="F81" s="45">
        <f t="shared" ref="F81" ca="1" si="41">MONTH(D79)</f>
        <v>7</v>
      </c>
      <c r="G81" s="45">
        <f>IF(selected_period="Total Year",1,IF(selected_period=cc_month_number,1,0))</f>
        <v>1</v>
      </c>
      <c r="H81" s="45">
        <f t="shared" ref="H81" si="42">1*$E$51</f>
        <v>1</v>
      </c>
      <c r="I81" s="45">
        <f t="shared" si="3"/>
        <v>1</v>
      </c>
      <c r="J81" s="76" cm="1">
        <f t="array" aca="1" ref="J81" ca="1">SUMPRODUCT(Tracking[Amount]*(TRIM(Tracking[Type])=TRIM(E81))*(YEAR(Tracking[Date])=selected_year)*(MONTH(Tracking[Date])=F81))</f>
        <v>0</v>
      </c>
      <c r="K81" s="76" cm="1">
        <f t="array" aca="1" ref="K81" ca="1">INDEX('Budget Planning'!$E:$EM,savings_total_row,MATCH(DATE(selected_year,F81,1),'Budget Planning'!$E$9:$EM$9,0))</f>
        <v>68318</v>
      </c>
      <c r="L81" s="76">
        <f ca="1">cc_budget-cc_tracked</f>
        <v>68318</v>
      </c>
      <c r="M81" s="76">
        <f ca="1">cc_in_focus*cc_show_type*MIN(cc_tracked,cc_budget)</f>
        <v>0</v>
      </c>
      <c r="N81" s="76">
        <f ca="1">cc_in_focus*cc_show_type*cc_show_remaining_budget*IF(cc_delta&gt;0,cc_delta,0)</f>
        <v>68318</v>
      </c>
      <c r="O81" s="76">
        <f ca="1">cc_in_focus*cc_show_type*IF(cc_delta&lt;0,ABS(cc_delta),0)</f>
        <v>0</v>
      </c>
      <c r="P81" s="76">
        <f ca="1">NOT(cc_in_focus)*cc_show_type*MIN(cc_tracked,cc_budget)</f>
        <v>0</v>
      </c>
      <c r="Q81" s="76">
        <f ca="1">NOT(cc_in_focus)*cc_show_type*cc_show_remaining_budget*IF(cc_delta&gt;0,cc_delta,0)</f>
        <v>0</v>
      </c>
      <c r="R81" s="76">
        <f ca="1">NOT(cc_in_focus)*cc_show_type*IF(cc_delta&lt;0,ABS(cc_delta),0)</f>
        <v>0</v>
      </c>
    </row>
    <row r="82" spans="4:18" x14ac:dyDescent="0.25">
      <c r="D82" s="116"/>
      <c r="E82" s="75"/>
      <c r="F82" s="75"/>
      <c r="G82" s="75"/>
      <c r="H82" s="75"/>
      <c r="I82" s="75"/>
      <c r="J82" s="79"/>
      <c r="K82" s="79"/>
      <c r="L82" s="79"/>
      <c r="M82" s="75"/>
      <c r="N82" s="75"/>
      <c r="O82" s="75"/>
      <c r="P82" s="75"/>
      <c r="Q82" s="75"/>
      <c r="R82" s="75"/>
    </row>
    <row r="83" spans="4:18" x14ac:dyDescent="0.25">
      <c r="D83" s="114">
        <f ca="1">DATE(selected_year,8,1)</f>
        <v>46235</v>
      </c>
      <c r="E83" s="74" t="s">
        <v>0</v>
      </c>
      <c r="F83" s="45">
        <f t="shared" ref="F83" ca="1" si="43">MONTH(D83)</f>
        <v>8</v>
      </c>
      <c r="G83" s="45">
        <f>IF(selected_period="Total Year",1,IF(selected_period=cc_month_number,1,0))</f>
        <v>1</v>
      </c>
      <c r="H83" s="45">
        <f t="shared" ref="H83" si="44">1*$E$49</f>
        <v>1</v>
      </c>
      <c r="I83" s="45">
        <f t="shared" ref="I83" si="45">1*$E$52</f>
        <v>1</v>
      </c>
      <c r="J83" s="76" cm="1">
        <f t="array" aca="1" ref="J83" ca="1">SUMPRODUCT(Tracking[Amount]*(TRIM(Tracking[Type])=TRIM(E83))*(YEAR(Tracking[Date])=selected_year)*(MONTH(Tracking[Date])=F83))</f>
        <v>0</v>
      </c>
      <c r="K83" s="76" cm="1">
        <f t="array" aca="1" ref="K83" ca="1">INDEX('Budget Planning'!$E:$EM,income_total_row,MATCH(DATE(selected_year,F83,1),'Budget Planning'!$E$9:$EM$9,0))</f>
        <v>124813</v>
      </c>
      <c r="L83" s="76">
        <f ca="1">cc_budget-cc_tracked</f>
        <v>124813</v>
      </c>
      <c r="M83" s="76">
        <f ca="1">cc_in_focus*cc_show_type*MIN(cc_tracked,cc_budget)</f>
        <v>0</v>
      </c>
      <c r="N83" s="76">
        <f ca="1">cc_in_focus*cc_show_type*cc_show_remaining_budget*IF(cc_delta&gt;0,cc_delta,0)</f>
        <v>124813</v>
      </c>
      <c r="O83" s="76">
        <f ca="1">cc_in_focus*cc_show_type*IF(cc_delta&lt;0,ABS(cc_delta),0)</f>
        <v>0</v>
      </c>
      <c r="P83" s="76">
        <f ca="1">NOT(cc_in_focus)*cc_show_type*MIN(cc_tracked,cc_budget)</f>
        <v>0</v>
      </c>
      <c r="Q83" s="76">
        <f ca="1">NOT(cc_in_focus)*cc_show_type*cc_show_remaining_budget*IF(cc_delta&gt;0,cc_delta,0)</f>
        <v>0</v>
      </c>
      <c r="R83" s="76">
        <f ca="1">NOT(cc_in_focus)*cc_show_type*IF(cc_delta&lt;0,ABS(cc_delta),0)</f>
        <v>0</v>
      </c>
    </row>
    <row r="84" spans="4:18" x14ac:dyDescent="0.25">
      <c r="D84" s="115"/>
      <c r="E84" s="45" t="s">
        <v>42</v>
      </c>
      <c r="F84" s="45">
        <f t="shared" ref="F84" ca="1" si="46">MONTH(D83)</f>
        <v>8</v>
      </c>
      <c r="G84" s="45">
        <f>IF(selected_period="Total Year",1,IF(selected_period=cc_month_number,1,0))</f>
        <v>1</v>
      </c>
      <c r="H84" s="45">
        <f t="shared" ref="H84" si="47">1*$E$50</f>
        <v>1</v>
      </c>
      <c r="I84" s="45">
        <f t="shared" si="3"/>
        <v>1</v>
      </c>
      <c r="J84" s="76" cm="1">
        <f t="array" aca="1" ref="J84" ca="1">SUMPRODUCT(Tracking[Amount]*(TRIM(Tracking[Type])=TRIM(E84))*(YEAR(Tracking[Date])=selected_year)*(MONTH(Tracking[Date])=F84))</f>
        <v>0</v>
      </c>
      <c r="K84" s="76" cm="1">
        <f t="array" aca="1" ref="K84" ca="1">INDEX('Budget Planning'!$E:$EM,expenses_total_row,MATCH(DATE(selected_year,F84,1),'Budget Planning'!$E$9:$EM$9,0))</f>
        <v>46918</v>
      </c>
      <c r="L84" s="76">
        <f ca="1">cc_budget-cc_tracked</f>
        <v>46918</v>
      </c>
      <c r="M84" s="76">
        <f ca="1">cc_in_focus*cc_show_type*MIN(cc_tracked,cc_budget)</f>
        <v>0</v>
      </c>
      <c r="N84" s="76">
        <f ca="1">cc_in_focus*cc_show_type*cc_show_remaining_budget*IF(cc_delta&gt;0,cc_delta,0)</f>
        <v>46918</v>
      </c>
      <c r="O84" s="76">
        <f ca="1">cc_in_focus*cc_show_type*IF(cc_delta&lt;0,ABS(cc_delta),0)</f>
        <v>0</v>
      </c>
      <c r="P84" s="76">
        <f ca="1">NOT(cc_in_focus)*cc_show_type*MIN(cc_tracked,cc_budget)</f>
        <v>0</v>
      </c>
      <c r="Q84" s="76">
        <f ca="1">NOT(cc_in_focus)*cc_show_type*cc_show_remaining_budget*IF(cc_delta&gt;0,cc_delta,0)</f>
        <v>0</v>
      </c>
      <c r="R84" s="76">
        <f ca="1">NOT(cc_in_focus)*cc_show_type*IF(cc_delta&lt;0,ABS(cc_delta),0)</f>
        <v>0</v>
      </c>
    </row>
    <row r="85" spans="4:18" x14ac:dyDescent="0.25">
      <c r="D85" s="115"/>
      <c r="E85" s="45" t="s">
        <v>43</v>
      </c>
      <c r="F85" s="45">
        <f t="shared" ref="F85" ca="1" si="48">MONTH(D83)</f>
        <v>8</v>
      </c>
      <c r="G85" s="45">
        <f>IF(selected_period="Total Year",1,IF(selected_period=cc_month_number,1,0))</f>
        <v>1</v>
      </c>
      <c r="H85" s="45">
        <f t="shared" ref="H85" si="49">1*$E$51</f>
        <v>1</v>
      </c>
      <c r="I85" s="45">
        <f t="shared" si="3"/>
        <v>1</v>
      </c>
      <c r="J85" s="76" cm="1">
        <f t="array" aca="1" ref="J85" ca="1">SUMPRODUCT(Tracking[Amount]*(TRIM(Tracking[Type])=TRIM(E85))*(YEAR(Tracking[Date])=selected_year)*(MONTH(Tracking[Date])=F85))</f>
        <v>0</v>
      </c>
      <c r="K85" s="76" cm="1">
        <f t="array" aca="1" ref="K85" ca="1">INDEX('Budget Planning'!$E:$EM,savings_total_row,MATCH(DATE(selected_year,F85,1),'Budget Planning'!$E$9:$EM$9,0))</f>
        <v>77895</v>
      </c>
      <c r="L85" s="76">
        <f ca="1">cc_budget-cc_tracked</f>
        <v>77895</v>
      </c>
      <c r="M85" s="76">
        <f ca="1">cc_in_focus*cc_show_type*MIN(cc_tracked,cc_budget)</f>
        <v>0</v>
      </c>
      <c r="N85" s="76">
        <f ca="1">cc_in_focus*cc_show_type*cc_show_remaining_budget*IF(cc_delta&gt;0,cc_delta,0)</f>
        <v>77895</v>
      </c>
      <c r="O85" s="76">
        <f ca="1">cc_in_focus*cc_show_type*IF(cc_delta&lt;0,ABS(cc_delta),0)</f>
        <v>0</v>
      </c>
      <c r="P85" s="76">
        <f ca="1">NOT(cc_in_focus)*cc_show_type*MIN(cc_tracked,cc_budget)</f>
        <v>0</v>
      </c>
      <c r="Q85" s="76">
        <f ca="1">NOT(cc_in_focus)*cc_show_type*cc_show_remaining_budget*IF(cc_delta&gt;0,cc_delta,0)</f>
        <v>0</v>
      </c>
      <c r="R85" s="76">
        <f ca="1">NOT(cc_in_focus)*cc_show_type*IF(cc_delta&lt;0,ABS(cc_delta),0)</f>
        <v>0</v>
      </c>
    </row>
    <row r="86" spans="4:18" x14ac:dyDescent="0.25">
      <c r="D86" s="116"/>
      <c r="E86" s="75"/>
      <c r="F86" s="75"/>
      <c r="G86" s="75"/>
      <c r="H86" s="75"/>
      <c r="I86" s="75"/>
      <c r="J86" s="79"/>
      <c r="K86" s="79"/>
      <c r="L86" s="79"/>
      <c r="M86" s="75"/>
      <c r="N86" s="75"/>
      <c r="O86" s="75"/>
      <c r="P86" s="75"/>
      <c r="Q86" s="75"/>
      <c r="R86" s="75"/>
    </row>
    <row r="87" spans="4:18" x14ac:dyDescent="0.25">
      <c r="D87" s="114">
        <f ca="1">DATE(selected_year,9,1)</f>
        <v>46266</v>
      </c>
      <c r="E87" s="74" t="s">
        <v>0</v>
      </c>
      <c r="F87" s="45">
        <f t="shared" ref="F87" ca="1" si="50">MONTH(D87)</f>
        <v>9</v>
      </c>
      <c r="G87" s="45">
        <f>IF(selected_period="Total Year",1,IF(selected_period=cc_month_number,1,0))</f>
        <v>1</v>
      </c>
      <c r="H87" s="45">
        <f t="shared" ref="H87" si="51">1*$E$49</f>
        <v>1</v>
      </c>
      <c r="I87" s="45">
        <f t="shared" ref="I87" si="52">1*$E$52</f>
        <v>1</v>
      </c>
      <c r="J87" s="76" cm="1">
        <f t="array" aca="1" ref="J87" ca="1">SUMPRODUCT(Tracking[Amount]*(TRIM(Tracking[Type])=TRIM(E87))*(YEAR(Tracking[Date])=selected_year)*(MONTH(Tracking[Date])=F87))</f>
        <v>0</v>
      </c>
      <c r="K87" s="76" cm="1">
        <f t="array" aca="1" ref="K87" ca="1">INDEX('Budget Planning'!$E:$EM,income_total_row,MATCH(DATE(selected_year,F87,1),'Budget Planning'!$E$9:$EM$9,0))</f>
        <v>132833</v>
      </c>
      <c r="L87" s="76">
        <f ca="1">cc_budget-cc_tracked</f>
        <v>132833</v>
      </c>
      <c r="M87" s="76">
        <f ca="1">cc_in_focus*cc_show_type*MIN(cc_tracked,cc_budget)</f>
        <v>0</v>
      </c>
      <c r="N87" s="76">
        <f ca="1">cc_in_focus*cc_show_type*cc_show_remaining_budget*IF(cc_delta&gt;0,cc_delta,0)</f>
        <v>132833</v>
      </c>
      <c r="O87" s="76">
        <f ca="1">cc_in_focus*cc_show_type*IF(cc_delta&lt;0,ABS(cc_delta),0)</f>
        <v>0</v>
      </c>
      <c r="P87" s="76">
        <f ca="1">NOT(cc_in_focus)*cc_show_type*MIN(cc_tracked,cc_budget)</f>
        <v>0</v>
      </c>
      <c r="Q87" s="76">
        <f ca="1">NOT(cc_in_focus)*cc_show_type*cc_show_remaining_budget*IF(cc_delta&gt;0,cc_delta,0)</f>
        <v>0</v>
      </c>
      <c r="R87" s="76">
        <f ca="1">NOT(cc_in_focus)*cc_show_type*IF(cc_delta&lt;0,ABS(cc_delta),0)</f>
        <v>0</v>
      </c>
    </row>
    <row r="88" spans="4:18" x14ac:dyDescent="0.25">
      <c r="D88" s="115"/>
      <c r="E88" s="45" t="s">
        <v>42</v>
      </c>
      <c r="F88" s="45">
        <f t="shared" ref="F88" ca="1" si="53">MONTH(D87)</f>
        <v>9</v>
      </c>
      <c r="G88" s="45">
        <f>IF(selected_period="Total Year",1,IF(selected_period=cc_month_number,1,0))</f>
        <v>1</v>
      </c>
      <c r="H88" s="45">
        <f t="shared" ref="H88" si="54">1*$E$50</f>
        <v>1</v>
      </c>
      <c r="I88" s="45">
        <f t="shared" si="3"/>
        <v>1</v>
      </c>
      <c r="J88" s="76" cm="1">
        <f t="array" aca="1" ref="J88" ca="1">SUMPRODUCT(Tracking[Amount]*(TRIM(Tracking[Type])=TRIM(E88))*(YEAR(Tracking[Date])=selected_year)*(MONTH(Tracking[Date])=F88))</f>
        <v>0</v>
      </c>
      <c r="K88" s="76" cm="1">
        <f t="array" aca="1" ref="K88" ca="1">INDEX('Budget Planning'!$E:$EM,expenses_total_row,MATCH(DATE(selected_year,F88,1),'Budget Planning'!$E$9:$EM$9,0))</f>
        <v>53418</v>
      </c>
      <c r="L88" s="76">
        <f ca="1">cc_budget-cc_tracked</f>
        <v>53418</v>
      </c>
      <c r="M88" s="76">
        <f ca="1">cc_in_focus*cc_show_type*MIN(cc_tracked,cc_budget)</f>
        <v>0</v>
      </c>
      <c r="N88" s="76">
        <f ca="1">cc_in_focus*cc_show_type*cc_show_remaining_budget*IF(cc_delta&gt;0,cc_delta,0)</f>
        <v>53418</v>
      </c>
      <c r="O88" s="76">
        <f ca="1">cc_in_focus*cc_show_type*IF(cc_delta&lt;0,ABS(cc_delta),0)</f>
        <v>0</v>
      </c>
      <c r="P88" s="76">
        <f ca="1">NOT(cc_in_focus)*cc_show_type*MIN(cc_tracked,cc_budget)</f>
        <v>0</v>
      </c>
      <c r="Q88" s="76">
        <f ca="1">NOT(cc_in_focus)*cc_show_type*cc_show_remaining_budget*IF(cc_delta&gt;0,cc_delta,0)</f>
        <v>0</v>
      </c>
      <c r="R88" s="76">
        <f ca="1">NOT(cc_in_focus)*cc_show_type*IF(cc_delta&lt;0,ABS(cc_delta),0)</f>
        <v>0</v>
      </c>
    </row>
    <row r="89" spans="4:18" x14ac:dyDescent="0.25">
      <c r="D89" s="115"/>
      <c r="E89" s="45" t="s">
        <v>43</v>
      </c>
      <c r="F89" s="45">
        <f t="shared" ref="F89" ca="1" si="55">MONTH(D87)</f>
        <v>9</v>
      </c>
      <c r="G89" s="45">
        <f>IF(selected_period="Total Year",1,IF(selected_period=cc_month_number,1,0))</f>
        <v>1</v>
      </c>
      <c r="H89" s="45">
        <f t="shared" ref="H89" si="56">1*$E$51</f>
        <v>1</v>
      </c>
      <c r="I89" s="45">
        <f t="shared" si="3"/>
        <v>1</v>
      </c>
      <c r="J89" s="76" cm="1">
        <f t="array" aca="1" ref="J89" ca="1">SUMPRODUCT(Tracking[Amount]*(TRIM(Tracking[Type])=TRIM(E89))*(YEAR(Tracking[Date])=selected_year)*(MONTH(Tracking[Date])=F89))</f>
        <v>0</v>
      </c>
      <c r="K89" s="76" cm="1">
        <f t="array" aca="1" ref="K89" ca="1">INDEX('Budget Planning'!$E:$EM,savings_total_row,MATCH(DATE(selected_year,F89,1),'Budget Planning'!$E$9:$EM$9,0))</f>
        <v>79415</v>
      </c>
      <c r="L89" s="76">
        <f ca="1">cc_budget-cc_tracked</f>
        <v>79415</v>
      </c>
      <c r="M89" s="76">
        <f ca="1">cc_in_focus*cc_show_type*MIN(cc_tracked,cc_budget)</f>
        <v>0</v>
      </c>
      <c r="N89" s="76">
        <f ca="1">cc_in_focus*cc_show_type*cc_show_remaining_budget*IF(cc_delta&gt;0,cc_delta,0)</f>
        <v>79415</v>
      </c>
      <c r="O89" s="76">
        <f ca="1">cc_in_focus*cc_show_type*IF(cc_delta&lt;0,ABS(cc_delta),0)</f>
        <v>0</v>
      </c>
      <c r="P89" s="76">
        <f ca="1">NOT(cc_in_focus)*cc_show_type*MIN(cc_tracked,cc_budget)</f>
        <v>0</v>
      </c>
      <c r="Q89" s="76">
        <f ca="1">NOT(cc_in_focus)*cc_show_type*cc_show_remaining_budget*IF(cc_delta&gt;0,cc_delta,0)</f>
        <v>0</v>
      </c>
      <c r="R89" s="76">
        <f ca="1">NOT(cc_in_focus)*cc_show_type*IF(cc_delta&lt;0,ABS(cc_delta),0)</f>
        <v>0</v>
      </c>
    </row>
    <row r="90" spans="4:18" x14ac:dyDescent="0.25">
      <c r="D90" s="116"/>
      <c r="E90" s="75"/>
      <c r="F90" s="75"/>
      <c r="G90" s="75"/>
      <c r="H90" s="75"/>
      <c r="I90" s="75"/>
      <c r="J90" s="79"/>
      <c r="K90" s="79"/>
      <c r="L90" s="79"/>
      <c r="M90" s="75"/>
      <c r="N90" s="75"/>
      <c r="O90" s="75"/>
      <c r="P90" s="75"/>
      <c r="Q90" s="75"/>
      <c r="R90" s="75"/>
    </row>
    <row r="91" spans="4:18" x14ac:dyDescent="0.25">
      <c r="D91" s="114">
        <f ca="1">DATE(selected_year,10,1)</f>
        <v>46296</v>
      </c>
      <c r="E91" s="74" t="s">
        <v>0</v>
      </c>
      <c r="F91" s="45">
        <f t="shared" ref="F91" ca="1" si="57">MONTH(D91)</f>
        <v>10</v>
      </c>
      <c r="G91" s="45">
        <f>IF(selected_period="Total Year",1,IF(selected_period=cc_month_number,1,0))</f>
        <v>1</v>
      </c>
      <c r="H91" s="45">
        <f t="shared" ref="H91" si="58">1*$E$49</f>
        <v>1</v>
      </c>
      <c r="I91" s="45">
        <f t="shared" ref="I91" si="59">1*$E$52</f>
        <v>1</v>
      </c>
      <c r="J91" s="76" cm="1">
        <f t="array" aca="1" ref="J91" ca="1">SUMPRODUCT(Tracking[Amount]*(TRIM(Tracking[Type])=TRIM(E91))*(YEAR(Tracking[Date])=selected_year)*(MONTH(Tracking[Date])=F91))</f>
        <v>0</v>
      </c>
      <c r="K91" s="76" cm="1">
        <f t="array" aca="1" ref="K91" ca="1">INDEX('Budget Planning'!$E:$EM,income_total_row,MATCH(DATE(selected_year,F91,1),'Budget Planning'!$E$9:$EM$9,0))</f>
        <v>135295</v>
      </c>
      <c r="L91" s="76">
        <f ca="1">cc_budget-cc_tracked</f>
        <v>135295</v>
      </c>
      <c r="M91" s="76">
        <f ca="1">cc_in_focus*cc_show_type*MIN(cc_tracked,cc_budget)</f>
        <v>0</v>
      </c>
      <c r="N91" s="76">
        <f ca="1">cc_in_focus*cc_show_type*cc_show_remaining_budget*IF(cc_delta&gt;0,cc_delta,0)</f>
        <v>135295</v>
      </c>
      <c r="O91" s="76">
        <f ca="1">cc_in_focus*cc_show_type*IF(cc_delta&lt;0,ABS(cc_delta),0)</f>
        <v>0</v>
      </c>
      <c r="P91" s="76">
        <f ca="1">NOT(cc_in_focus)*cc_show_type*MIN(cc_tracked,cc_budget)</f>
        <v>0</v>
      </c>
      <c r="Q91" s="76">
        <f ca="1">NOT(cc_in_focus)*cc_show_type*cc_show_remaining_budget*IF(cc_delta&gt;0,cc_delta,0)</f>
        <v>0</v>
      </c>
      <c r="R91" s="76">
        <f ca="1">NOT(cc_in_focus)*cc_show_type*IF(cc_delta&lt;0,ABS(cc_delta),0)</f>
        <v>0</v>
      </c>
    </row>
    <row r="92" spans="4:18" x14ac:dyDescent="0.25">
      <c r="D92" s="115"/>
      <c r="E92" s="45" t="s">
        <v>42</v>
      </c>
      <c r="F92" s="45">
        <f t="shared" ref="F92" ca="1" si="60">MONTH(D91)</f>
        <v>10</v>
      </c>
      <c r="G92" s="45">
        <f>IF(selected_period="Total Year",1,IF(selected_period=cc_month_number,1,0))</f>
        <v>1</v>
      </c>
      <c r="H92" s="45">
        <f t="shared" ref="H92" si="61">1*$E$50</f>
        <v>1</v>
      </c>
      <c r="I92" s="45">
        <f t="shared" si="3"/>
        <v>1</v>
      </c>
      <c r="J92" s="76" cm="1">
        <f t="array" aca="1" ref="J92" ca="1">SUMPRODUCT(Tracking[Amount]*(TRIM(Tracking[Type])=TRIM(E92))*(YEAR(Tracking[Date])=selected_year)*(MONTH(Tracking[Date])=F92))</f>
        <v>0</v>
      </c>
      <c r="K92" s="76" cm="1">
        <f t="array" aca="1" ref="K92" ca="1">INDEX('Budget Planning'!$E:$EM,expenses_total_row,MATCH(DATE(selected_year,F92,1),'Budget Planning'!$E$9:$EM$9,0))</f>
        <v>46418</v>
      </c>
      <c r="L92" s="76">
        <f ca="1">cc_budget-cc_tracked</f>
        <v>46418</v>
      </c>
      <c r="M92" s="76">
        <f ca="1">cc_in_focus*cc_show_type*MIN(cc_tracked,cc_budget)</f>
        <v>0</v>
      </c>
      <c r="N92" s="76">
        <f ca="1">cc_in_focus*cc_show_type*cc_show_remaining_budget*IF(cc_delta&gt;0,cc_delta,0)</f>
        <v>46418</v>
      </c>
      <c r="O92" s="76">
        <f ca="1">cc_in_focus*cc_show_type*IF(cc_delta&lt;0,ABS(cc_delta),0)</f>
        <v>0</v>
      </c>
      <c r="P92" s="76">
        <f ca="1">NOT(cc_in_focus)*cc_show_type*MIN(cc_tracked,cc_budget)</f>
        <v>0</v>
      </c>
      <c r="Q92" s="76">
        <f ca="1">NOT(cc_in_focus)*cc_show_type*cc_show_remaining_budget*IF(cc_delta&gt;0,cc_delta,0)</f>
        <v>0</v>
      </c>
      <c r="R92" s="76">
        <f ca="1">NOT(cc_in_focus)*cc_show_type*IF(cc_delta&lt;0,ABS(cc_delta),0)</f>
        <v>0</v>
      </c>
    </row>
    <row r="93" spans="4:18" x14ac:dyDescent="0.25">
      <c r="D93" s="115"/>
      <c r="E93" s="45" t="s">
        <v>43</v>
      </c>
      <c r="F93" s="45">
        <f t="shared" ref="F93" ca="1" si="62">MONTH(D91)</f>
        <v>10</v>
      </c>
      <c r="G93" s="45">
        <f>IF(selected_period="Total Year",1,IF(selected_period=cc_month_number,1,0))</f>
        <v>1</v>
      </c>
      <c r="H93" s="45">
        <f t="shared" ref="H93" si="63">1*$E$51</f>
        <v>1</v>
      </c>
      <c r="I93" s="45">
        <f t="shared" si="3"/>
        <v>1</v>
      </c>
      <c r="J93" s="76" cm="1">
        <f t="array" aca="1" ref="J93" ca="1">SUMPRODUCT(Tracking[Amount]*(TRIM(Tracking[Type])=TRIM(E93))*(YEAR(Tracking[Date])=selected_year)*(MONTH(Tracking[Date])=F93))</f>
        <v>0</v>
      </c>
      <c r="K93" s="76" cm="1">
        <f t="array" aca="1" ref="K93" ca="1">INDEX('Budget Planning'!$E:$EM,savings_total_row,MATCH(DATE(selected_year,F93,1),'Budget Planning'!$E$9:$EM$9,0))</f>
        <v>88877</v>
      </c>
      <c r="L93" s="76">
        <f ca="1">cc_budget-cc_tracked</f>
        <v>88877</v>
      </c>
      <c r="M93" s="76">
        <f ca="1">cc_in_focus*cc_show_type*MIN(cc_tracked,cc_budget)</f>
        <v>0</v>
      </c>
      <c r="N93" s="76">
        <f ca="1">cc_in_focus*cc_show_type*cc_show_remaining_budget*IF(cc_delta&gt;0,cc_delta,0)</f>
        <v>88877</v>
      </c>
      <c r="O93" s="76">
        <f ca="1">cc_in_focus*cc_show_type*IF(cc_delta&lt;0,ABS(cc_delta),0)</f>
        <v>0</v>
      </c>
      <c r="P93" s="76">
        <f ca="1">NOT(cc_in_focus)*cc_show_type*MIN(cc_tracked,cc_budget)</f>
        <v>0</v>
      </c>
      <c r="Q93" s="76">
        <f ca="1">NOT(cc_in_focus)*cc_show_type*cc_show_remaining_budget*IF(cc_delta&gt;0,cc_delta,0)</f>
        <v>0</v>
      </c>
      <c r="R93" s="76">
        <f ca="1">NOT(cc_in_focus)*cc_show_type*IF(cc_delta&lt;0,ABS(cc_delta),0)</f>
        <v>0</v>
      </c>
    </row>
    <row r="94" spans="4:18" x14ac:dyDescent="0.25">
      <c r="D94" s="116"/>
      <c r="E94" s="75"/>
      <c r="F94" s="75"/>
      <c r="G94" s="75"/>
      <c r="H94" s="75"/>
      <c r="I94" s="75"/>
      <c r="J94" s="79"/>
      <c r="K94" s="79"/>
      <c r="L94" s="79"/>
      <c r="M94" s="75"/>
      <c r="N94" s="75"/>
      <c r="O94" s="75"/>
      <c r="P94" s="75"/>
      <c r="Q94" s="75"/>
      <c r="R94" s="75"/>
    </row>
    <row r="95" spans="4:18" x14ac:dyDescent="0.25">
      <c r="D95" s="114">
        <f ca="1">DATE(selected_year,11,1)</f>
        <v>46327</v>
      </c>
      <c r="E95" s="74" t="s">
        <v>0</v>
      </c>
      <c r="F95" s="45">
        <f t="shared" ref="F95" ca="1" si="64">MONTH(D95)</f>
        <v>11</v>
      </c>
      <c r="G95" s="45">
        <f>IF(selected_period="Total Year",1,IF(selected_period=cc_month_number,1,0))</f>
        <v>1</v>
      </c>
      <c r="H95" s="45">
        <f t="shared" ref="H95" si="65">1*$E$49</f>
        <v>1</v>
      </c>
      <c r="I95" s="45">
        <f t="shared" ref="I95" si="66">1*$E$52</f>
        <v>1</v>
      </c>
      <c r="J95" s="76" cm="1">
        <f t="array" aca="1" ref="J95" ca="1">SUMPRODUCT(Tracking[Amount]*(TRIM(Tracking[Type])=TRIM(E95))*(YEAR(Tracking[Date])=selected_year)*(MONTH(Tracking[Date])=F95))</f>
        <v>0</v>
      </c>
      <c r="K95" s="76" cm="1">
        <f t="array" aca="1" ref="K95" ca="1">INDEX('Budget Planning'!$E:$EM,income_total_row,MATCH(DATE(selected_year,F95,1),'Budget Planning'!$E$9:$EM$9,0))</f>
        <v>138509</v>
      </c>
      <c r="L95" s="76">
        <f ca="1">cc_budget-cc_tracked</f>
        <v>138509</v>
      </c>
      <c r="M95" s="76">
        <f ca="1">cc_in_focus*cc_show_type*MIN(cc_tracked,cc_budget)</f>
        <v>0</v>
      </c>
      <c r="N95" s="76">
        <f ca="1">cc_in_focus*cc_show_type*cc_show_remaining_budget*IF(cc_delta&gt;0,cc_delta,0)</f>
        <v>138509</v>
      </c>
      <c r="O95" s="76">
        <f ca="1">cc_in_focus*cc_show_type*IF(cc_delta&lt;0,ABS(cc_delta),0)</f>
        <v>0</v>
      </c>
      <c r="P95" s="76">
        <f ca="1">NOT(cc_in_focus)*cc_show_type*MIN(cc_tracked,cc_budget)</f>
        <v>0</v>
      </c>
      <c r="Q95" s="76">
        <f ca="1">NOT(cc_in_focus)*cc_show_type*cc_show_remaining_budget*IF(cc_delta&gt;0,cc_delta,0)</f>
        <v>0</v>
      </c>
      <c r="R95" s="76">
        <f ca="1">NOT(cc_in_focus)*cc_show_type*IF(cc_delta&lt;0,ABS(cc_delta),0)</f>
        <v>0</v>
      </c>
    </row>
    <row r="96" spans="4:18" x14ac:dyDescent="0.25">
      <c r="D96" s="115"/>
      <c r="E96" s="45" t="s">
        <v>42</v>
      </c>
      <c r="F96" s="45">
        <f t="shared" ref="F96" ca="1" si="67">MONTH(D95)</f>
        <v>11</v>
      </c>
      <c r="G96" s="45">
        <f>IF(selected_period="Total Year",1,IF(selected_period=cc_month_number,1,0))</f>
        <v>1</v>
      </c>
      <c r="H96" s="45">
        <f t="shared" ref="H96" si="68">1*$E$50</f>
        <v>1</v>
      </c>
      <c r="I96" s="45">
        <f t="shared" si="3"/>
        <v>1</v>
      </c>
      <c r="J96" s="76" cm="1">
        <f t="array" aca="1" ref="J96" ca="1">SUMPRODUCT(Tracking[Amount]*(TRIM(Tracking[Type])=TRIM(E96))*(YEAR(Tracking[Date])=selected_year)*(MONTH(Tracking[Date])=F96))</f>
        <v>0</v>
      </c>
      <c r="K96" s="76" cm="1">
        <f t="array" aca="1" ref="K96" ca="1">INDEX('Budget Planning'!$E:$EM,expenses_total_row,MATCH(DATE(selected_year,F96,1),'Budget Planning'!$E$9:$EM$9,0))</f>
        <v>45918</v>
      </c>
      <c r="L96" s="76">
        <f ca="1">cc_budget-cc_tracked</f>
        <v>45918</v>
      </c>
      <c r="M96" s="76">
        <f ca="1">cc_in_focus*cc_show_type*MIN(cc_tracked,cc_budget)</f>
        <v>0</v>
      </c>
      <c r="N96" s="76">
        <f ca="1">cc_in_focus*cc_show_type*cc_show_remaining_budget*IF(cc_delta&gt;0,cc_delta,0)</f>
        <v>45918</v>
      </c>
      <c r="O96" s="76">
        <f ca="1">cc_in_focus*cc_show_type*IF(cc_delta&lt;0,ABS(cc_delta),0)</f>
        <v>0</v>
      </c>
      <c r="P96" s="76">
        <f ca="1">NOT(cc_in_focus)*cc_show_type*MIN(cc_tracked,cc_budget)</f>
        <v>0</v>
      </c>
      <c r="Q96" s="76">
        <f ca="1">NOT(cc_in_focus)*cc_show_type*cc_show_remaining_budget*IF(cc_delta&gt;0,cc_delta,0)</f>
        <v>0</v>
      </c>
      <c r="R96" s="76">
        <f ca="1">NOT(cc_in_focus)*cc_show_type*IF(cc_delta&lt;0,ABS(cc_delta),0)</f>
        <v>0</v>
      </c>
    </row>
    <row r="97" spans="4:18" x14ac:dyDescent="0.25">
      <c r="D97" s="115"/>
      <c r="E97" s="45" t="s">
        <v>43</v>
      </c>
      <c r="F97" s="45">
        <f t="shared" ref="F97" ca="1" si="69">MONTH(D95)</f>
        <v>11</v>
      </c>
      <c r="G97" s="45">
        <f>IF(selected_period="Total Year",1,IF(selected_period=cc_month_number,1,0))</f>
        <v>1</v>
      </c>
      <c r="H97" s="45">
        <f t="shared" ref="H97" si="70">1*$E$51</f>
        <v>1</v>
      </c>
      <c r="I97" s="45">
        <f t="shared" si="3"/>
        <v>1</v>
      </c>
      <c r="J97" s="76" cm="1">
        <f t="array" aca="1" ref="J97" ca="1">SUMPRODUCT(Tracking[Amount]*(TRIM(Tracking[Type])=TRIM(E97))*(YEAR(Tracking[Date])=selected_year)*(MONTH(Tracking[Date])=F97))</f>
        <v>0</v>
      </c>
      <c r="K97" s="76" cm="1">
        <f t="array" aca="1" ref="K97" ca="1">INDEX('Budget Planning'!$E:$EM,savings_total_row,MATCH(DATE(selected_year,F97,1),'Budget Planning'!$E$9:$EM$9,0))</f>
        <v>92591</v>
      </c>
      <c r="L97" s="76">
        <f ca="1">cc_budget-cc_tracked</f>
        <v>92591</v>
      </c>
      <c r="M97" s="76">
        <f ca="1">cc_in_focus*cc_show_type*MIN(cc_tracked,cc_budget)</f>
        <v>0</v>
      </c>
      <c r="N97" s="76">
        <f ca="1">cc_in_focus*cc_show_type*cc_show_remaining_budget*IF(cc_delta&gt;0,cc_delta,0)</f>
        <v>92591</v>
      </c>
      <c r="O97" s="76">
        <f ca="1">cc_in_focus*cc_show_type*IF(cc_delta&lt;0,ABS(cc_delta),0)</f>
        <v>0</v>
      </c>
      <c r="P97" s="76">
        <f ca="1">NOT(cc_in_focus)*cc_show_type*MIN(cc_tracked,cc_budget)</f>
        <v>0</v>
      </c>
      <c r="Q97" s="76">
        <f ca="1">NOT(cc_in_focus)*cc_show_type*cc_show_remaining_budget*IF(cc_delta&gt;0,cc_delta,0)</f>
        <v>0</v>
      </c>
      <c r="R97" s="76">
        <f ca="1">NOT(cc_in_focus)*cc_show_type*IF(cc_delta&lt;0,ABS(cc_delta),0)</f>
        <v>0</v>
      </c>
    </row>
    <row r="98" spans="4:18" x14ac:dyDescent="0.25">
      <c r="D98" s="116"/>
      <c r="E98" s="75"/>
      <c r="F98" s="75"/>
      <c r="G98" s="75"/>
      <c r="H98" s="75"/>
      <c r="I98" s="75"/>
      <c r="J98" s="79"/>
      <c r="K98" s="79"/>
      <c r="L98" s="79"/>
      <c r="M98" s="75"/>
      <c r="N98" s="75"/>
      <c r="O98" s="75"/>
      <c r="P98" s="75"/>
      <c r="Q98" s="75"/>
      <c r="R98" s="75"/>
    </row>
    <row r="99" spans="4:18" x14ac:dyDescent="0.25">
      <c r="D99" s="114">
        <f ca="1">DATE(selected_year,12,1)</f>
        <v>46357</v>
      </c>
      <c r="E99" s="74" t="s">
        <v>0</v>
      </c>
      <c r="F99" s="45">
        <f t="shared" ref="F99" ca="1" si="71">MONTH(D99)</f>
        <v>12</v>
      </c>
      <c r="G99" s="45">
        <f>IF(selected_period="Total Year",1,IF(selected_period=cc_month_number,1,0))</f>
        <v>1</v>
      </c>
      <c r="H99" s="45">
        <f t="shared" ref="H99" si="72">1*$E$49</f>
        <v>1</v>
      </c>
      <c r="I99" s="45">
        <f t="shared" ref="I99" si="73">1*$E$52</f>
        <v>1</v>
      </c>
      <c r="J99" s="76" cm="1">
        <f t="array" aca="1" ref="J99" ca="1">SUMPRODUCT(Tracking[Amount]*(TRIM(Tracking[Type])=TRIM(E99))*(YEAR(Tracking[Date])=selected_year)*(MONTH(Tracking[Date])=F99))</f>
        <v>0</v>
      </c>
      <c r="K99" s="76" cm="1">
        <f t="array" aca="1" ref="K99" ca="1">INDEX('Budget Planning'!$E:$EM,income_total_row,MATCH(DATE(selected_year,F99,1),'Budget Planning'!$E$9:$EM$9,0))</f>
        <v>139942</v>
      </c>
      <c r="L99" s="76">
        <f ca="1">cc_budget-cc_tracked</f>
        <v>139942</v>
      </c>
      <c r="M99" s="76">
        <f ca="1">cc_in_focus*cc_show_type*MIN(cc_tracked,cc_budget)</f>
        <v>0</v>
      </c>
      <c r="N99" s="76">
        <f ca="1">cc_in_focus*cc_show_type*cc_show_remaining_budget*IF(cc_delta&gt;0,cc_delta,0)</f>
        <v>139942</v>
      </c>
      <c r="O99" s="76">
        <f ca="1">cc_in_focus*cc_show_type*IF(cc_delta&lt;0,ABS(cc_delta),0)</f>
        <v>0</v>
      </c>
      <c r="P99" s="76">
        <f ca="1">NOT(cc_in_focus)*cc_show_type*MIN(cc_tracked,cc_budget)</f>
        <v>0</v>
      </c>
      <c r="Q99" s="76">
        <f ca="1">NOT(cc_in_focus)*cc_show_type*cc_show_remaining_budget*IF(cc_delta&gt;0,cc_delta,0)</f>
        <v>0</v>
      </c>
      <c r="R99" s="76">
        <f ca="1">NOT(cc_in_focus)*cc_show_type*IF(cc_delta&lt;0,ABS(cc_delta),0)</f>
        <v>0</v>
      </c>
    </row>
    <row r="100" spans="4:18" x14ac:dyDescent="0.25">
      <c r="D100" s="115"/>
      <c r="E100" s="45" t="s">
        <v>42</v>
      </c>
      <c r="F100" s="45">
        <f t="shared" ref="F100" ca="1" si="74">MONTH(D99)</f>
        <v>12</v>
      </c>
      <c r="G100" s="45">
        <f>IF(selected_period="Total Year",1,IF(selected_period=cc_month_number,1,0))</f>
        <v>1</v>
      </c>
      <c r="H100" s="45">
        <f t="shared" ref="H100" si="75">1*$E$50</f>
        <v>1</v>
      </c>
      <c r="I100" s="45">
        <f t="shared" si="3"/>
        <v>1</v>
      </c>
      <c r="J100" s="76" cm="1">
        <f t="array" aca="1" ref="J100" ca="1">SUMPRODUCT(Tracking[Amount]*(TRIM(Tracking[Type])=TRIM(E100))*(YEAR(Tracking[Date])=selected_year)*(MONTH(Tracking[Date])=F100))</f>
        <v>0</v>
      </c>
      <c r="K100" s="76" cm="1">
        <f t="array" aca="1" ref="K100" ca="1">INDEX('Budget Planning'!$E:$EM,expenses_total_row,MATCH(DATE(selected_year,F100,1),'Budget Planning'!$E$9:$EM$9,0))</f>
        <v>54718</v>
      </c>
      <c r="L100" s="76">
        <f ca="1">cc_budget-cc_tracked</f>
        <v>54718</v>
      </c>
      <c r="M100" s="76">
        <f ca="1">cc_in_focus*cc_show_type*MIN(cc_tracked,cc_budget)</f>
        <v>0</v>
      </c>
      <c r="N100" s="76">
        <f ca="1">cc_in_focus*cc_show_type*cc_show_remaining_budget*IF(cc_delta&gt;0,cc_delta,0)</f>
        <v>54718</v>
      </c>
      <c r="O100" s="76">
        <f ca="1">cc_in_focus*cc_show_type*IF(cc_delta&lt;0,ABS(cc_delta),0)</f>
        <v>0</v>
      </c>
      <c r="P100" s="76">
        <f ca="1">NOT(cc_in_focus)*cc_show_type*MIN(cc_tracked,cc_budget)</f>
        <v>0</v>
      </c>
      <c r="Q100" s="76">
        <f ca="1">NOT(cc_in_focus)*cc_show_type*cc_show_remaining_budget*IF(cc_delta&gt;0,cc_delta,0)</f>
        <v>0</v>
      </c>
      <c r="R100" s="76">
        <f ca="1">NOT(cc_in_focus)*cc_show_type*IF(cc_delta&lt;0,ABS(cc_delta),0)</f>
        <v>0</v>
      </c>
    </row>
    <row r="101" spans="4:18" x14ac:dyDescent="0.25">
      <c r="D101" s="115"/>
      <c r="E101" s="45" t="s">
        <v>43</v>
      </c>
      <c r="F101" s="45">
        <f t="shared" ref="F101" ca="1" si="76">MONTH(D99)</f>
        <v>12</v>
      </c>
      <c r="G101" s="45">
        <f>IF(selected_period="Total Year",1,IF(selected_period=cc_month_number,1,0))</f>
        <v>1</v>
      </c>
      <c r="H101" s="45">
        <f t="shared" ref="H101" si="77">1*$E$51</f>
        <v>1</v>
      </c>
      <c r="I101" s="45">
        <f t="shared" si="3"/>
        <v>1</v>
      </c>
      <c r="J101" s="76" cm="1">
        <f t="array" aca="1" ref="J101" ca="1">SUMPRODUCT(Tracking[Amount]*(TRIM(Tracking[Type])=TRIM(E101))*(YEAR(Tracking[Date])=selected_year)*(MONTH(Tracking[Date])=F101))</f>
        <v>0</v>
      </c>
      <c r="K101" s="76" cm="1">
        <f t="array" aca="1" ref="K101" ca="1">INDEX('Budget Planning'!$E:$EM,savings_total_row,MATCH(DATE(selected_year,F101,1),'Budget Planning'!$E$9:$EM$9,0))</f>
        <v>85224</v>
      </c>
      <c r="L101" s="76">
        <f ca="1">cc_budget-cc_tracked</f>
        <v>85224</v>
      </c>
      <c r="M101" s="76">
        <f ca="1">cc_in_focus*cc_show_type*MIN(cc_tracked,cc_budget)</f>
        <v>0</v>
      </c>
      <c r="N101" s="76">
        <f ca="1">cc_in_focus*cc_show_type*cc_show_remaining_budget*IF(cc_delta&gt;0,cc_delta,0)</f>
        <v>85224</v>
      </c>
      <c r="O101" s="76">
        <f ca="1">cc_in_focus*cc_show_type*IF(cc_delta&lt;0,ABS(cc_delta),0)</f>
        <v>0</v>
      </c>
      <c r="P101" s="76">
        <f ca="1">NOT(cc_in_focus)*cc_show_type*MIN(cc_tracked,cc_budget)</f>
        <v>0</v>
      </c>
      <c r="Q101" s="76">
        <f ca="1">NOT(cc_in_focus)*cc_show_type*cc_show_remaining_budget*IF(cc_delta&gt;0,cc_delta,0)</f>
        <v>0</v>
      </c>
      <c r="R101" s="76">
        <f ca="1">NOT(cc_in_focus)*cc_show_type*IF(cc_delta&lt;0,ABS(cc_delta),0)</f>
        <v>0</v>
      </c>
    </row>
    <row r="102" spans="4:18" x14ac:dyDescent="0.25">
      <c r="D102" s="116"/>
      <c r="E102" s="75"/>
      <c r="F102" s="75"/>
      <c r="G102" s="75"/>
      <c r="H102" s="75"/>
      <c r="I102" s="75"/>
      <c r="J102" s="79"/>
      <c r="K102" s="79"/>
      <c r="L102" s="79"/>
      <c r="M102" s="75"/>
      <c r="N102" s="75"/>
      <c r="O102" s="75"/>
      <c r="P102" s="75"/>
      <c r="Q102" s="75"/>
      <c r="R102" s="75"/>
    </row>
    <row r="103" spans="4:18" x14ac:dyDescent="0.25">
      <c r="D103" s="73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</row>
    <row r="104" spans="4:18" x14ac:dyDescent="0.25">
      <c r="D104" s="11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</row>
    <row r="105" spans="4:18" x14ac:dyDescent="0.25">
      <c r="D105" s="11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</row>
  </sheetData>
  <mergeCells count="18">
    <mergeCell ref="A1:XFD3"/>
    <mergeCell ref="C6:F6"/>
    <mergeCell ref="C17:F17"/>
    <mergeCell ref="M53:O53"/>
    <mergeCell ref="P53:R53"/>
    <mergeCell ref="D55:D58"/>
    <mergeCell ref="D59:D62"/>
    <mergeCell ref="D63:D66"/>
    <mergeCell ref="D67:D70"/>
    <mergeCell ref="D71:D74"/>
    <mergeCell ref="D95:D98"/>
    <mergeCell ref="D99:D102"/>
    <mergeCell ref="D104:D105"/>
    <mergeCell ref="D75:D78"/>
    <mergeCell ref="D79:D82"/>
    <mergeCell ref="D83:D86"/>
    <mergeCell ref="D87:D90"/>
    <mergeCell ref="D91:D94"/>
  </mergeCells>
  <phoneticPr fontId="3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BEE71-A33A-43AD-B581-A984B187D967}">
  <dimension ref="A1:E21"/>
  <sheetViews>
    <sheetView showGridLines="0" workbookViewId="0">
      <selection activeCell="H12" sqref="H12"/>
    </sheetView>
  </sheetViews>
  <sheetFormatPr defaultRowHeight="15" x14ac:dyDescent="0.25"/>
  <cols>
    <col min="3" max="3" width="18.28515625" customWidth="1"/>
    <col min="5" max="5" width="17.7109375" customWidth="1"/>
  </cols>
  <sheetData>
    <row r="1" spans="1:5" s="117" customFormat="1" x14ac:dyDescent="0.25">
      <c r="A1" s="117" t="s">
        <v>60</v>
      </c>
    </row>
    <row r="2" spans="1:5" s="117" customFormat="1" x14ac:dyDescent="0.25"/>
    <row r="3" spans="1:5" s="117" customFormat="1" x14ac:dyDescent="0.25"/>
    <row r="7" spans="1:5" x14ac:dyDescent="0.25">
      <c r="C7" s="33" t="s">
        <v>61</v>
      </c>
      <c r="E7" s="33" t="s">
        <v>63</v>
      </c>
    </row>
    <row r="8" spans="1:5" x14ac:dyDescent="0.25">
      <c r="C8" s="34" t="s">
        <v>62</v>
      </c>
      <c r="E8" s="36" t="s">
        <v>64</v>
      </c>
    </row>
    <row r="9" spans="1:5" x14ac:dyDescent="0.25">
      <c r="C9" s="34">
        <f>starting_year</f>
        <v>2026</v>
      </c>
      <c r="E9" s="36" t="s">
        <v>65</v>
      </c>
    </row>
    <row r="10" spans="1:5" x14ac:dyDescent="0.25">
      <c r="C10" s="34">
        <f>C9+1</f>
        <v>2027</v>
      </c>
      <c r="E10" s="37">
        <v>36526</v>
      </c>
    </row>
    <row r="11" spans="1:5" x14ac:dyDescent="0.25">
      <c r="C11" s="34">
        <f t="shared" ref="C11:C18" si="0">C10+1</f>
        <v>2028</v>
      </c>
      <c r="E11" s="37">
        <v>36557</v>
      </c>
    </row>
    <row r="12" spans="1:5" x14ac:dyDescent="0.25">
      <c r="C12" s="34">
        <f t="shared" si="0"/>
        <v>2029</v>
      </c>
      <c r="E12" s="37">
        <v>36586</v>
      </c>
    </row>
    <row r="13" spans="1:5" x14ac:dyDescent="0.25">
      <c r="C13" s="34">
        <f t="shared" si="0"/>
        <v>2030</v>
      </c>
      <c r="E13" s="37">
        <v>36617</v>
      </c>
    </row>
    <row r="14" spans="1:5" x14ac:dyDescent="0.25">
      <c r="C14" s="34">
        <f t="shared" si="0"/>
        <v>2031</v>
      </c>
      <c r="E14" s="37">
        <v>36647</v>
      </c>
    </row>
    <row r="15" spans="1:5" x14ac:dyDescent="0.25">
      <c r="C15" s="34">
        <f t="shared" si="0"/>
        <v>2032</v>
      </c>
      <c r="E15" s="37">
        <v>36678</v>
      </c>
    </row>
    <row r="16" spans="1:5" x14ac:dyDescent="0.25">
      <c r="C16" s="34">
        <f t="shared" si="0"/>
        <v>2033</v>
      </c>
      <c r="E16" s="37">
        <v>36708</v>
      </c>
    </row>
    <row r="17" spans="3:5" x14ac:dyDescent="0.25">
      <c r="C17" s="34">
        <f t="shared" si="0"/>
        <v>2034</v>
      </c>
      <c r="E17" s="37">
        <v>36739</v>
      </c>
    </row>
    <row r="18" spans="3:5" x14ac:dyDescent="0.25">
      <c r="C18" s="35">
        <f t="shared" si="0"/>
        <v>2035</v>
      </c>
      <c r="E18" s="37">
        <v>36770</v>
      </c>
    </row>
    <row r="19" spans="3:5" x14ac:dyDescent="0.25">
      <c r="E19" s="37">
        <v>36800</v>
      </c>
    </row>
    <row r="20" spans="3:5" x14ac:dyDescent="0.25">
      <c r="E20" s="37">
        <v>36831</v>
      </c>
    </row>
    <row r="21" spans="3:5" x14ac:dyDescent="0.25">
      <c r="E21" s="38">
        <v>36861</v>
      </c>
    </row>
  </sheetData>
  <mergeCells count="1">
    <mergeCell ref="A1:XF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39</vt:i4>
      </vt:variant>
    </vt:vector>
  </HeadingPairs>
  <TitlesOfParts>
    <vt:vector size="45" baseType="lpstr">
      <vt:lpstr>Settings</vt:lpstr>
      <vt:lpstr>Budget Planning</vt:lpstr>
      <vt:lpstr>Budget Tracking</vt:lpstr>
      <vt:lpstr>Budget Dashboard</vt:lpstr>
      <vt:lpstr>Calculations</vt:lpstr>
      <vt:lpstr>Dropdown Data</vt:lpstr>
      <vt:lpstr>'Budget Dashboard'!budget</vt:lpstr>
      <vt:lpstr>'Budget Dashboard'!budget_range</vt:lpstr>
      <vt:lpstr>'Budget Dashboard'!budget_rank</vt:lpstr>
      <vt:lpstr>Calculations!cc_budget</vt:lpstr>
      <vt:lpstr>Calculations!cc_delta</vt:lpstr>
      <vt:lpstr>Calculations!cc_in_focus</vt:lpstr>
      <vt:lpstr>Calculations!cc_month_number</vt:lpstr>
      <vt:lpstr>Calculations!cc_show_remaining_budget</vt:lpstr>
      <vt:lpstr>Calculations!cc_show_type</vt:lpstr>
      <vt:lpstr>Calculations!cc_tracked</vt:lpstr>
      <vt:lpstr>Calculations!cc_type</vt:lpstr>
      <vt:lpstr>'Budget Dashboard'!comb_rank</vt:lpstr>
      <vt:lpstr>'Budget Dashboard'!comb_rank_norm</vt:lpstr>
      <vt:lpstr>'Budget Dashboard'!comb_rank_norm_run_range</vt:lpstr>
      <vt:lpstr>'Budget Dashboard'!comb_rank_range</vt:lpstr>
      <vt:lpstr>'Budget Dashboard'!comb_rank_unique</vt:lpstr>
      <vt:lpstr>'Budget Dashboard'!header_row_id</vt:lpstr>
      <vt:lpstr>'Budget Dashboard'!is_cat</vt:lpstr>
      <vt:lpstr>'Budget Dashboard'!is_empty</vt:lpstr>
      <vt:lpstr>'Budget Dashboard'!is_header</vt:lpstr>
      <vt:lpstr>'Budget Dashboard'!is_total</vt:lpstr>
      <vt:lpstr>'Budget Dashboard'!item</vt:lpstr>
      <vt:lpstr>item</vt:lpstr>
      <vt:lpstr>'Budget Dashboard'!out_budget</vt:lpstr>
      <vt:lpstr>'Budget Dashboard'!out_percentage_completed</vt:lpstr>
      <vt:lpstr>'Budget Dashboard'!out_tracked</vt:lpstr>
      <vt:lpstr>'Budget Dashboard'!row_id</vt:lpstr>
      <vt:lpstr>savings_rate_calculation_type</vt:lpstr>
      <vt:lpstr>selected_period</vt:lpstr>
      <vt:lpstr>selected_period_display</vt:lpstr>
      <vt:lpstr>selected_year</vt:lpstr>
      <vt:lpstr>'Budget Dashboard'!sort_max_row</vt:lpstr>
      <vt:lpstr>'Budget Dashboard'!sort_min_row</vt:lpstr>
      <vt:lpstr>starting_year</vt:lpstr>
      <vt:lpstr>'Budget Dashboard'!tracked</vt:lpstr>
      <vt:lpstr>'Budget Dashboard'!tracked_range</vt:lpstr>
      <vt:lpstr>'Budget Dashboard'!tracked_rank</vt:lpstr>
      <vt:lpstr>'Budget Dashboard'!type</vt:lpstr>
      <vt:lpstr>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Abi</dc:creator>
  <cp:lastModifiedBy>Nikhil Abi</cp:lastModifiedBy>
  <dcterms:created xsi:type="dcterms:W3CDTF">2026-02-02T07:42:22Z</dcterms:created>
  <dcterms:modified xsi:type="dcterms:W3CDTF">2026-04-20T13:19:28Z</dcterms:modified>
</cp:coreProperties>
</file>